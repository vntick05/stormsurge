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xr:revisionPtr revIDLastSave="36" documentId="13_ncr:1_{B9BDEE4B-36F8-48E0-9463-DFD65D589E31}" xr6:coauthVersionLast="47" xr6:coauthVersionMax="47" xr10:uidLastSave="{9BC93053-770F-42E7-93D7-3C6E44C45D87}"/>
  <bookViews>
    <workbookView xWindow="28680" yWindow="-120" windowWidth="29040" windowHeight="15720" tabRatio="671" activeTab="4" xr2:uid="{00000000-000D-0000-FFFF-FFFF00000000}"/>
  </bookViews>
  <sheets>
    <sheet name="Tab 1 Instructions" sheetId="44" r:id="rId1"/>
    <sheet name="Tab 2 IDIQ LCAT Skill Levels" sheetId="45" r:id="rId2"/>
    <sheet name="Tab 3 IDIQ LCAT Descriptions" sheetId="46" r:id="rId3"/>
    <sheet name="Tab 4 IDIQ LCAT Rates" sheetId="47" r:id="rId4"/>
    <sheet name="Tab 5 IDIQ and TO1 CLINs" sheetId="48" r:id="rId5"/>
    <sheet name="Tab 6 TO1 CLIN X001" sheetId="39" r:id="rId6"/>
    <sheet name="Tab 7 TO1 SUBCLIN X001AF" sheetId="37" r:id="rId7"/>
    <sheet name="Tab 8 TO1 CLIN X002" sheetId="38" r:id="rId8"/>
    <sheet name="Tab 9 O1 SUBCLIN X003AA" sheetId="40" r:id="rId9"/>
    <sheet name="Tab 10 TO1 SUBCLIN X003AB" sheetId="41" r:id="rId10"/>
    <sheet name="Tab 11 TO1 SUBCLIN X003AC" sheetId="43" r:id="rId11"/>
    <sheet name="Tab 12 TO1 CLIN X004" sheetId="35" r:id="rId12"/>
    <sheet name="Tab 13 TO1 CLIN X005" sheetId="30" r:id="rId13"/>
    <sheet name="Tab 14 TO1 Summary" sheetId="49"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6" i="49" l="1"/>
  <c r="I42" i="35"/>
  <c r="I41" i="35"/>
  <c r="I40" i="35"/>
  <c r="I39" i="35"/>
  <c r="I38" i="35"/>
  <c r="I34" i="35"/>
  <c r="I33" i="35"/>
  <c r="I32" i="35"/>
  <c r="I31" i="35"/>
  <c r="I30" i="35"/>
  <c r="I26" i="35"/>
  <c r="I25" i="35"/>
  <c r="I24" i="35"/>
  <c r="I23" i="35"/>
  <c r="I22" i="35"/>
  <c r="I18" i="35"/>
  <c r="I17" i="35"/>
  <c r="I16" i="35"/>
  <c r="I15" i="35"/>
  <c r="I14" i="35"/>
  <c r="I7" i="35"/>
  <c r="I8" i="35"/>
  <c r="I9" i="35"/>
  <c r="I10" i="35"/>
  <c r="I6" i="35"/>
  <c r="I18" i="30"/>
  <c r="I17" i="30"/>
  <c r="I16" i="30"/>
  <c r="I15" i="30"/>
  <c r="I14" i="30"/>
  <c r="I7" i="30"/>
  <c r="I8" i="30"/>
  <c r="I9" i="30"/>
  <c r="I10" i="30"/>
  <c r="I6" i="30"/>
  <c r="G19" i="30"/>
  <c r="G11" i="30"/>
  <c r="G43" i="35"/>
  <c r="G35" i="35"/>
  <c r="G27" i="35"/>
  <c r="G19" i="35"/>
  <c r="G11" i="35"/>
  <c r="I42" i="43"/>
  <c r="I41" i="43"/>
  <c r="I40" i="43"/>
  <c r="I39" i="43"/>
  <c r="I38" i="43"/>
  <c r="I43" i="43" s="1"/>
  <c r="I34" i="43"/>
  <c r="I33" i="43"/>
  <c r="I32" i="43"/>
  <c r="I31" i="43"/>
  <c r="I30" i="43"/>
  <c r="I26" i="43"/>
  <c r="I25" i="43"/>
  <c r="I24" i="43"/>
  <c r="I23" i="43"/>
  <c r="I27" i="43" s="1"/>
  <c r="I22" i="43"/>
  <c r="I18" i="43"/>
  <c r="I17" i="43"/>
  <c r="I16" i="43"/>
  <c r="I15" i="43"/>
  <c r="I14" i="43"/>
  <c r="I10" i="43"/>
  <c r="I9" i="43"/>
  <c r="I8" i="43"/>
  <c r="I7" i="43"/>
  <c r="I6" i="43"/>
  <c r="G43" i="43"/>
  <c r="G35" i="43"/>
  <c r="G27" i="43"/>
  <c r="G19" i="43"/>
  <c r="G11" i="43"/>
  <c r="G43" i="38"/>
  <c r="G35" i="38"/>
  <c r="G27" i="38"/>
  <c r="I42" i="38"/>
  <c r="I41" i="38"/>
  <c r="I40" i="38"/>
  <c r="I39" i="38"/>
  <c r="I38" i="38"/>
  <c r="I34" i="38"/>
  <c r="I33" i="38"/>
  <c r="I32" i="38"/>
  <c r="I31" i="38"/>
  <c r="I30" i="38"/>
  <c r="I26" i="38"/>
  <c r="I25" i="38"/>
  <c r="I24" i="38"/>
  <c r="I23" i="38"/>
  <c r="I22" i="38"/>
  <c r="I18" i="38"/>
  <c r="I17" i="38"/>
  <c r="I16" i="38"/>
  <c r="I15" i="38"/>
  <c r="I14" i="38"/>
  <c r="I7" i="38"/>
  <c r="I8" i="38"/>
  <c r="I9" i="38"/>
  <c r="I10" i="38"/>
  <c r="I6" i="38"/>
  <c r="G19" i="38"/>
  <c r="G11" i="38"/>
  <c r="I38" i="41"/>
  <c r="I37" i="41"/>
  <c r="I36" i="41"/>
  <c r="I35" i="41"/>
  <c r="I34" i="41"/>
  <c r="I31" i="41"/>
  <c r="I30" i="41"/>
  <c r="I29" i="41"/>
  <c r="I28" i="41"/>
  <c r="I27" i="41"/>
  <c r="I32" i="41" s="1"/>
  <c r="I24" i="41"/>
  <c r="I23" i="41"/>
  <c r="I22" i="41"/>
  <c r="I21" i="41"/>
  <c r="I20" i="41"/>
  <c r="I25" i="41" s="1"/>
  <c r="I17" i="41"/>
  <c r="I16" i="41"/>
  <c r="I15" i="41"/>
  <c r="I14" i="41"/>
  <c r="I13" i="41"/>
  <c r="I10" i="41"/>
  <c r="I9" i="41"/>
  <c r="I8" i="41"/>
  <c r="I7" i="41"/>
  <c r="I6" i="41"/>
  <c r="I11" i="41" s="1"/>
  <c r="G39" i="41"/>
  <c r="G32" i="41"/>
  <c r="G25" i="41"/>
  <c r="G18" i="41"/>
  <c r="G11" i="41"/>
  <c r="I7" i="37"/>
  <c r="I8" i="37"/>
  <c r="I9" i="37"/>
  <c r="I10" i="37"/>
  <c r="I6" i="37"/>
  <c r="G11" i="37"/>
  <c r="I38" i="40"/>
  <c r="I37" i="40"/>
  <c r="I36" i="40"/>
  <c r="I35" i="40"/>
  <c r="I34" i="40"/>
  <c r="I39" i="40" s="1"/>
  <c r="I31" i="40"/>
  <c r="I30" i="40"/>
  <c r="I29" i="40"/>
  <c r="I28" i="40"/>
  <c r="I27" i="40"/>
  <c r="I24" i="40"/>
  <c r="I23" i="40"/>
  <c r="I22" i="40"/>
  <c r="I21" i="40"/>
  <c r="I20" i="40"/>
  <c r="I17" i="40"/>
  <c r="I16" i="40"/>
  <c r="I15" i="40"/>
  <c r="I14" i="40"/>
  <c r="I13" i="40"/>
  <c r="I18" i="40" s="1"/>
  <c r="I10" i="40"/>
  <c r="I9" i="40"/>
  <c r="I8" i="40"/>
  <c r="I7" i="40"/>
  <c r="I6" i="40"/>
  <c r="G39" i="40"/>
  <c r="G32" i="40"/>
  <c r="G25" i="40"/>
  <c r="G18" i="40"/>
  <c r="G11" i="40"/>
  <c r="I38" i="39"/>
  <c r="I37" i="39"/>
  <c r="I36" i="39"/>
  <c r="I35" i="39"/>
  <c r="I34" i="39"/>
  <c r="I31" i="39"/>
  <c r="I30" i="39"/>
  <c r="I29" i="39"/>
  <c r="I28" i="39"/>
  <c r="I27" i="39"/>
  <c r="I24" i="39"/>
  <c r="I23" i="39"/>
  <c r="I22" i="39"/>
  <c r="I21" i="39"/>
  <c r="I20" i="39"/>
  <c r="I17" i="39"/>
  <c r="I16" i="39"/>
  <c r="I15" i="39"/>
  <c r="I14" i="39"/>
  <c r="I13" i="39"/>
  <c r="I7" i="39"/>
  <c r="I8" i="39"/>
  <c r="I9" i="39"/>
  <c r="I10" i="39"/>
  <c r="I6" i="39"/>
  <c r="G39" i="39"/>
  <c r="G32" i="39"/>
  <c r="G25" i="39"/>
  <c r="G18" i="39"/>
  <c r="G11" i="39"/>
  <c r="I11" i="40" l="1"/>
  <c r="I39" i="41"/>
  <c r="I35" i="43"/>
  <c r="D36" i="49" s="1"/>
  <c r="I19" i="43"/>
  <c r="I32" i="40"/>
  <c r="I18" i="41"/>
  <c r="I11" i="43"/>
  <c r="I47" i="43" s="1"/>
  <c r="I25" i="40"/>
  <c r="D37" i="49"/>
  <c r="D35" i="49"/>
  <c r="D34" i="49"/>
  <c r="D82" i="49"/>
  <c r="D81" i="49"/>
  <c r="D80" i="49"/>
  <c r="D79" i="49"/>
  <c r="D77" i="49"/>
  <c r="AB58" i="47"/>
  <c r="AC58" i="47" s="1"/>
  <c r="AD58" i="47" s="1"/>
  <c r="AE58" i="47" s="1"/>
  <c r="AF58" i="47" s="1"/>
  <c r="AG58" i="47" s="1"/>
  <c r="T58" i="47"/>
  <c r="U58" i="47" s="1"/>
  <c r="V58" i="47" s="1"/>
  <c r="W58" i="47" s="1"/>
  <c r="X58" i="47" s="1"/>
  <c r="Y58" i="47" s="1"/>
  <c r="L58" i="47"/>
  <c r="M58" i="47" s="1"/>
  <c r="N58" i="47" s="1"/>
  <c r="O58" i="47" s="1"/>
  <c r="P58" i="47" s="1"/>
  <c r="Q58" i="47" s="1"/>
  <c r="D58" i="47"/>
  <c r="E58" i="47" s="1"/>
  <c r="F58" i="47" s="1"/>
  <c r="G58" i="47" s="1"/>
  <c r="H58" i="47" s="1"/>
  <c r="I58" i="47" s="1"/>
  <c r="AB57" i="47"/>
  <c r="AC57" i="47" s="1"/>
  <c r="AD57" i="47" s="1"/>
  <c r="AE57" i="47" s="1"/>
  <c r="AF57" i="47" s="1"/>
  <c r="AG57" i="47" s="1"/>
  <c r="T57" i="47"/>
  <c r="U57" i="47" s="1"/>
  <c r="V57" i="47" s="1"/>
  <c r="W57" i="47" s="1"/>
  <c r="X57" i="47" s="1"/>
  <c r="Y57" i="47" s="1"/>
  <c r="L57" i="47"/>
  <c r="M57" i="47" s="1"/>
  <c r="N57" i="47" s="1"/>
  <c r="O57" i="47" s="1"/>
  <c r="P57" i="47" s="1"/>
  <c r="Q57" i="47" s="1"/>
  <c r="D57" i="47"/>
  <c r="E57" i="47" s="1"/>
  <c r="F57" i="47" s="1"/>
  <c r="G57" i="47" s="1"/>
  <c r="H57" i="47" s="1"/>
  <c r="I57" i="47" s="1"/>
  <c r="AB56" i="47"/>
  <c r="AC56" i="47" s="1"/>
  <c r="AD56" i="47" s="1"/>
  <c r="AE56" i="47" s="1"/>
  <c r="AF56" i="47" s="1"/>
  <c r="AG56" i="47" s="1"/>
  <c r="W56" i="47"/>
  <c r="X56" i="47" s="1"/>
  <c r="Y56" i="47" s="1"/>
  <c r="T56" i="47"/>
  <c r="U56" i="47" s="1"/>
  <c r="V56" i="47" s="1"/>
  <c r="L56" i="47"/>
  <c r="M56" i="47" s="1"/>
  <c r="N56" i="47" s="1"/>
  <c r="O56" i="47" s="1"/>
  <c r="P56" i="47" s="1"/>
  <c r="Q56" i="47" s="1"/>
  <c r="D56" i="47"/>
  <c r="E56" i="47" s="1"/>
  <c r="F56" i="47" s="1"/>
  <c r="G56" i="47" s="1"/>
  <c r="H56" i="47" s="1"/>
  <c r="I56" i="47" s="1"/>
  <c r="AB55" i="47"/>
  <c r="AC55" i="47" s="1"/>
  <c r="AD55" i="47" s="1"/>
  <c r="AE55" i="47" s="1"/>
  <c r="AF55" i="47" s="1"/>
  <c r="AG55" i="47" s="1"/>
  <c r="T55" i="47"/>
  <c r="U55" i="47" s="1"/>
  <c r="V55" i="47" s="1"/>
  <c r="W55" i="47" s="1"/>
  <c r="X55" i="47" s="1"/>
  <c r="Y55" i="47" s="1"/>
  <c r="N55" i="47"/>
  <c r="O55" i="47" s="1"/>
  <c r="P55" i="47" s="1"/>
  <c r="Q55" i="47" s="1"/>
  <c r="L55" i="47"/>
  <c r="M55" i="47" s="1"/>
  <c r="G55" i="47"/>
  <c r="H55" i="47" s="1"/>
  <c r="I55" i="47" s="1"/>
  <c r="D55" i="47"/>
  <c r="E55" i="47" s="1"/>
  <c r="F55" i="47" s="1"/>
  <c r="AB54" i="47"/>
  <c r="AC54" i="47" s="1"/>
  <c r="AD54" i="47" s="1"/>
  <c r="AE54" i="47" s="1"/>
  <c r="AF54" i="47" s="1"/>
  <c r="AG54" i="47" s="1"/>
  <c r="T54" i="47"/>
  <c r="U54" i="47" s="1"/>
  <c r="V54" i="47" s="1"/>
  <c r="W54" i="47" s="1"/>
  <c r="X54" i="47" s="1"/>
  <c r="Y54" i="47" s="1"/>
  <c r="O54" i="47"/>
  <c r="P54" i="47" s="1"/>
  <c r="Q54" i="47" s="1"/>
  <c r="L54" i="47"/>
  <c r="M54" i="47" s="1"/>
  <c r="N54" i="47" s="1"/>
  <c r="D54" i="47"/>
  <c r="E54" i="47" s="1"/>
  <c r="F54" i="47" s="1"/>
  <c r="G54" i="47" s="1"/>
  <c r="H54" i="47" s="1"/>
  <c r="I54" i="47" s="1"/>
  <c r="AD53" i="47"/>
  <c r="AE53" i="47" s="1"/>
  <c r="AF53" i="47" s="1"/>
  <c r="AG53" i="47" s="1"/>
  <c r="AB53" i="47"/>
  <c r="AC53" i="47" s="1"/>
  <c r="T53" i="47"/>
  <c r="U53" i="47" s="1"/>
  <c r="V53" i="47" s="1"/>
  <c r="W53" i="47" s="1"/>
  <c r="X53" i="47" s="1"/>
  <c r="Y53" i="47" s="1"/>
  <c r="L53" i="47"/>
  <c r="M53" i="47" s="1"/>
  <c r="N53" i="47" s="1"/>
  <c r="O53" i="47" s="1"/>
  <c r="P53" i="47" s="1"/>
  <c r="Q53" i="47" s="1"/>
  <c r="F53" i="47"/>
  <c r="G53" i="47" s="1"/>
  <c r="H53" i="47" s="1"/>
  <c r="I53" i="47" s="1"/>
  <c r="D53" i="47"/>
  <c r="E53" i="47" s="1"/>
  <c r="AB52" i="47"/>
  <c r="AC52" i="47" s="1"/>
  <c r="AD52" i="47" s="1"/>
  <c r="AE52" i="47" s="1"/>
  <c r="AF52" i="47" s="1"/>
  <c r="AG52" i="47" s="1"/>
  <c r="T52" i="47"/>
  <c r="U52" i="47" s="1"/>
  <c r="V52" i="47" s="1"/>
  <c r="W52" i="47" s="1"/>
  <c r="X52" i="47" s="1"/>
  <c r="Y52" i="47" s="1"/>
  <c r="L52" i="47"/>
  <c r="M52" i="47" s="1"/>
  <c r="N52" i="47" s="1"/>
  <c r="O52" i="47" s="1"/>
  <c r="P52" i="47" s="1"/>
  <c r="Q52" i="47" s="1"/>
  <c r="D52" i="47"/>
  <c r="E52" i="47" s="1"/>
  <c r="F52" i="47" s="1"/>
  <c r="G52" i="47" s="1"/>
  <c r="H52" i="47" s="1"/>
  <c r="I52" i="47" s="1"/>
  <c r="AB51" i="47"/>
  <c r="AC51" i="47" s="1"/>
  <c r="AD51" i="47" s="1"/>
  <c r="AE51" i="47" s="1"/>
  <c r="AF51" i="47" s="1"/>
  <c r="AG51" i="47" s="1"/>
  <c r="T51" i="47"/>
  <c r="U51" i="47" s="1"/>
  <c r="V51" i="47" s="1"/>
  <c r="W51" i="47" s="1"/>
  <c r="X51" i="47" s="1"/>
  <c r="Y51" i="47" s="1"/>
  <c r="L51" i="47"/>
  <c r="M51" i="47" s="1"/>
  <c r="N51" i="47" s="1"/>
  <c r="O51" i="47" s="1"/>
  <c r="P51" i="47" s="1"/>
  <c r="Q51" i="47" s="1"/>
  <c r="D51" i="47"/>
  <c r="E51" i="47" s="1"/>
  <c r="F51" i="47" s="1"/>
  <c r="G51" i="47" s="1"/>
  <c r="H51" i="47" s="1"/>
  <c r="I51" i="47" s="1"/>
  <c r="AB50" i="47"/>
  <c r="AC50" i="47" s="1"/>
  <c r="AD50" i="47" s="1"/>
  <c r="AE50" i="47" s="1"/>
  <c r="AF50" i="47" s="1"/>
  <c r="AG50" i="47" s="1"/>
  <c r="W50" i="47"/>
  <c r="X50" i="47" s="1"/>
  <c r="Y50" i="47" s="1"/>
  <c r="T50" i="47"/>
  <c r="U50" i="47" s="1"/>
  <c r="V50" i="47" s="1"/>
  <c r="L50" i="47"/>
  <c r="M50" i="47" s="1"/>
  <c r="N50" i="47" s="1"/>
  <c r="O50" i="47" s="1"/>
  <c r="P50" i="47" s="1"/>
  <c r="Q50" i="47" s="1"/>
  <c r="D50" i="47"/>
  <c r="E50" i="47" s="1"/>
  <c r="F50" i="47" s="1"/>
  <c r="G50" i="47" s="1"/>
  <c r="H50" i="47" s="1"/>
  <c r="I50" i="47" s="1"/>
  <c r="AB49" i="47"/>
  <c r="AC49" i="47" s="1"/>
  <c r="AD49" i="47" s="1"/>
  <c r="AE49" i="47" s="1"/>
  <c r="AF49" i="47" s="1"/>
  <c r="AG49" i="47" s="1"/>
  <c r="T49" i="47"/>
  <c r="U49" i="47" s="1"/>
  <c r="V49" i="47" s="1"/>
  <c r="W49" i="47" s="1"/>
  <c r="X49" i="47" s="1"/>
  <c r="Y49" i="47" s="1"/>
  <c r="N49" i="47"/>
  <c r="O49" i="47" s="1"/>
  <c r="P49" i="47" s="1"/>
  <c r="Q49" i="47" s="1"/>
  <c r="L49" i="47"/>
  <c r="M49" i="47" s="1"/>
  <c r="D49" i="47"/>
  <c r="E49" i="47" s="1"/>
  <c r="F49" i="47" s="1"/>
  <c r="G49" i="47" s="1"/>
  <c r="H49" i="47" s="1"/>
  <c r="I49" i="47" s="1"/>
  <c r="AB48" i="47"/>
  <c r="AC48" i="47" s="1"/>
  <c r="AD48" i="47" s="1"/>
  <c r="AE48" i="47" s="1"/>
  <c r="AF48" i="47" s="1"/>
  <c r="AG48" i="47" s="1"/>
  <c r="V48" i="47"/>
  <c r="W48" i="47" s="1"/>
  <c r="X48" i="47" s="1"/>
  <c r="Y48" i="47" s="1"/>
  <c r="T48" i="47"/>
  <c r="U48" i="47" s="1"/>
  <c r="L48" i="47"/>
  <c r="M48" i="47" s="1"/>
  <c r="N48" i="47" s="1"/>
  <c r="O48" i="47" s="1"/>
  <c r="P48" i="47" s="1"/>
  <c r="Q48" i="47" s="1"/>
  <c r="D48" i="47"/>
  <c r="E48" i="47" s="1"/>
  <c r="F48" i="47" s="1"/>
  <c r="G48" i="47" s="1"/>
  <c r="H48" i="47" s="1"/>
  <c r="I48" i="47" s="1"/>
  <c r="AB47" i="47"/>
  <c r="AC47" i="47" s="1"/>
  <c r="AD47" i="47" s="1"/>
  <c r="AE47" i="47" s="1"/>
  <c r="AF47" i="47" s="1"/>
  <c r="AG47" i="47" s="1"/>
  <c r="T47" i="47"/>
  <c r="U47" i="47" s="1"/>
  <c r="V47" i="47" s="1"/>
  <c r="W47" i="47" s="1"/>
  <c r="X47" i="47" s="1"/>
  <c r="Y47" i="47" s="1"/>
  <c r="O47" i="47"/>
  <c r="P47" i="47" s="1"/>
  <c r="Q47" i="47" s="1"/>
  <c r="L47" i="47"/>
  <c r="M47" i="47" s="1"/>
  <c r="N47" i="47" s="1"/>
  <c r="D47" i="47"/>
  <c r="E47" i="47" s="1"/>
  <c r="F47" i="47" s="1"/>
  <c r="G47" i="47" s="1"/>
  <c r="H47" i="47" s="1"/>
  <c r="I47" i="47" s="1"/>
  <c r="AB46" i="47"/>
  <c r="AC46" i="47" s="1"/>
  <c r="AD46" i="47" s="1"/>
  <c r="AE46" i="47" s="1"/>
  <c r="AF46" i="47" s="1"/>
  <c r="AG46" i="47" s="1"/>
  <c r="T46" i="47"/>
  <c r="U46" i="47" s="1"/>
  <c r="V46" i="47" s="1"/>
  <c r="W46" i="47" s="1"/>
  <c r="X46" i="47" s="1"/>
  <c r="Y46" i="47" s="1"/>
  <c r="L46" i="47"/>
  <c r="M46" i="47" s="1"/>
  <c r="N46" i="47" s="1"/>
  <c r="O46" i="47" s="1"/>
  <c r="P46" i="47" s="1"/>
  <c r="Q46" i="47" s="1"/>
  <c r="G46" i="47"/>
  <c r="H46" i="47" s="1"/>
  <c r="I46" i="47" s="1"/>
  <c r="D46" i="47"/>
  <c r="E46" i="47" s="1"/>
  <c r="F46" i="47" s="1"/>
  <c r="AE45" i="47"/>
  <c r="AF45" i="47" s="1"/>
  <c r="AG45" i="47" s="1"/>
  <c r="AB45" i="47"/>
  <c r="AC45" i="47" s="1"/>
  <c r="AD45" i="47" s="1"/>
  <c r="T45" i="47"/>
  <c r="U45" i="47" s="1"/>
  <c r="V45" i="47" s="1"/>
  <c r="W45" i="47" s="1"/>
  <c r="X45" i="47" s="1"/>
  <c r="Y45" i="47" s="1"/>
  <c r="L45" i="47"/>
  <c r="M45" i="47" s="1"/>
  <c r="N45" i="47" s="1"/>
  <c r="O45" i="47" s="1"/>
  <c r="P45" i="47" s="1"/>
  <c r="Q45" i="47" s="1"/>
  <c r="G45" i="47"/>
  <c r="H45" i="47" s="1"/>
  <c r="I45" i="47" s="1"/>
  <c r="D45" i="47"/>
  <c r="E45" i="47" s="1"/>
  <c r="F45" i="47" s="1"/>
  <c r="AB44" i="47"/>
  <c r="AC44" i="47" s="1"/>
  <c r="AD44" i="47" s="1"/>
  <c r="AE44" i="47" s="1"/>
  <c r="AF44" i="47" s="1"/>
  <c r="AG44" i="47" s="1"/>
  <c r="W44" i="47"/>
  <c r="X44" i="47" s="1"/>
  <c r="Y44" i="47" s="1"/>
  <c r="T44" i="47"/>
  <c r="U44" i="47" s="1"/>
  <c r="V44" i="47" s="1"/>
  <c r="O44" i="47"/>
  <c r="P44" i="47" s="1"/>
  <c r="Q44" i="47" s="1"/>
  <c r="L44" i="47"/>
  <c r="M44" i="47" s="1"/>
  <c r="N44" i="47" s="1"/>
  <c r="D44" i="47"/>
  <c r="E44" i="47" s="1"/>
  <c r="F44" i="47" s="1"/>
  <c r="G44" i="47" s="1"/>
  <c r="H44" i="47" s="1"/>
  <c r="I44" i="47" s="1"/>
  <c r="AE43" i="47"/>
  <c r="AF43" i="47" s="1"/>
  <c r="AG43" i="47" s="1"/>
  <c r="AB43" i="47"/>
  <c r="AC43" i="47" s="1"/>
  <c r="AD43" i="47" s="1"/>
  <c r="T43" i="47"/>
  <c r="U43" i="47" s="1"/>
  <c r="V43" i="47" s="1"/>
  <c r="W43" i="47" s="1"/>
  <c r="X43" i="47" s="1"/>
  <c r="Y43" i="47" s="1"/>
  <c r="L43" i="47"/>
  <c r="M43" i="47" s="1"/>
  <c r="N43" i="47" s="1"/>
  <c r="O43" i="47" s="1"/>
  <c r="P43" i="47" s="1"/>
  <c r="Q43" i="47" s="1"/>
  <c r="D43" i="47"/>
  <c r="E43" i="47" s="1"/>
  <c r="F43" i="47" s="1"/>
  <c r="G43" i="47" s="1"/>
  <c r="H43" i="47" s="1"/>
  <c r="I43" i="47" s="1"/>
  <c r="AD42" i="47"/>
  <c r="AE42" i="47" s="1"/>
  <c r="AF42" i="47" s="1"/>
  <c r="AG42" i="47" s="1"/>
  <c r="AB42" i="47"/>
  <c r="AC42" i="47" s="1"/>
  <c r="T42" i="47"/>
  <c r="U42" i="47" s="1"/>
  <c r="V42" i="47" s="1"/>
  <c r="W42" i="47" s="1"/>
  <c r="X42" i="47" s="1"/>
  <c r="Y42" i="47" s="1"/>
  <c r="N42" i="47"/>
  <c r="O42" i="47" s="1"/>
  <c r="P42" i="47" s="1"/>
  <c r="Q42" i="47" s="1"/>
  <c r="L42" i="47"/>
  <c r="M42" i="47" s="1"/>
  <c r="D42" i="47"/>
  <c r="E42" i="47" s="1"/>
  <c r="F42" i="47" s="1"/>
  <c r="G42" i="47" s="1"/>
  <c r="H42" i="47" s="1"/>
  <c r="I42" i="47" s="1"/>
  <c r="AB41" i="47"/>
  <c r="AC41" i="47" s="1"/>
  <c r="AD41" i="47" s="1"/>
  <c r="AE41" i="47" s="1"/>
  <c r="AF41" i="47" s="1"/>
  <c r="AG41" i="47" s="1"/>
  <c r="T41" i="47"/>
  <c r="U41" i="47" s="1"/>
  <c r="V41" i="47" s="1"/>
  <c r="W41" i="47" s="1"/>
  <c r="X41" i="47" s="1"/>
  <c r="Y41" i="47" s="1"/>
  <c r="O41" i="47"/>
  <c r="P41" i="47" s="1"/>
  <c r="Q41" i="47" s="1"/>
  <c r="N41" i="47"/>
  <c r="L41" i="47"/>
  <c r="M41" i="47" s="1"/>
  <c r="D41" i="47"/>
  <c r="E41" i="47" s="1"/>
  <c r="F41" i="47" s="1"/>
  <c r="G41" i="47" s="1"/>
  <c r="H41" i="47" s="1"/>
  <c r="I41" i="47" s="1"/>
  <c r="AB40" i="47"/>
  <c r="AC40" i="47" s="1"/>
  <c r="AD40" i="47" s="1"/>
  <c r="AE40" i="47" s="1"/>
  <c r="AF40" i="47" s="1"/>
  <c r="AG40" i="47" s="1"/>
  <c r="T40" i="47"/>
  <c r="U40" i="47" s="1"/>
  <c r="V40" i="47" s="1"/>
  <c r="W40" i="47" s="1"/>
  <c r="X40" i="47" s="1"/>
  <c r="Y40" i="47" s="1"/>
  <c r="M40" i="47"/>
  <c r="N40" i="47" s="1"/>
  <c r="O40" i="47" s="1"/>
  <c r="P40" i="47" s="1"/>
  <c r="Q40" i="47" s="1"/>
  <c r="L40" i="47"/>
  <c r="E40" i="47"/>
  <c r="F40" i="47" s="1"/>
  <c r="G40" i="47" s="1"/>
  <c r="H40" i="47" s="1"/>
  <c r="I40" i="47" s="1"/>
  <c r="D40" i="47"/>
  <c r="AB39" i="47"/>
  <c r="AC39" i="47" s="1"/>
  <c r="AD39" i="47" s="1"/>
  <c r="AE39" i="47" s="1"/>
  <c r="AF39" i="47" s="1"/>
  <c r="AG39" i="47" s="1"/>
  <c r="T39" i="47"/>
  <c r="U39" i="47" s="1"/>
  <c r="V39" i="47" s="1"/>
  <c r="W39" i="47" s="1"/>
  <c r="X39" i="47" s="1"/>
  <c r="Y39" i="47" s="1"/>
  <c r="L39" i="47"/>
  <c r="M39" i="47" s="1"/>
  <c r="N39" i="47" s="1"/>
  <c r="O39" i="47" s="1"/>
  <c r="P39" i="47" s="1"/>
  <c r="Q39" i="47" s="1"/>
  <c r="D39" i="47"/>
  <c r="E39" i="47" s="1"/>
  <c r="F39" i="47" s="1"/>
  <c r="G39" i="47" s="1"/>
  <c r="H39" i="47" s="1"/>
  <c r="I39" i="47" s="1"/>
  <c r="AB38" i="47"/>
  <c r="AC38" i="47" s="1"/>
  <c r="AD38" i="47" s="1"/>
  <c r="AE38" i="47" s="1"/>
  <c r="AF38" i="47" s="1"/>
  <c r="AG38" i="47" s="1"/>
  <c r="U38" i="47"/>
  <c r="V38" i="47" s="1"/>
  <c r="W38" i="47" s="1"/>
  <c r="X38" i="47" s="1"/>
  <c r="Y38" i="47" s="1"/>
  <c r="T38" i="47"/>
  <c r="L38" i="47"/>
  <c r="M38" i="47" s="1"/>
  <c r="N38" i="47" s="1"/>
  <c r="O38" i="47" s="1"/>
  <c r="P38" i="47" s="1"/>
  <c r="Q38" i="47" s="1"/>
  <c r="D38" i="47"/>
  <c r="E38" i="47" s="1"/>
  <c r="F38" i="47" s="1"/>
  <c r="G38" i="47" s="1"/>
  <c r="H38" i="47" s="1"/>
  <c r="I38" i="47" s="1"/>
  <c r="AC37" i="47"/>
  <c r="AD37" i="47" s="1"/>
  <c r="AE37" i="47" s="1"/>
  <c r="AF37" i="47" s="1"/>
  <c r="AG37" i="47" s="1"/>
  <c r="AB37" i="47"/>
  <c r="T37" i="47"/>
  <c r="U37" i="47" s="1"/>
  <c r="V37" i="47" s="1"/>
  <c r="W37" i="47" s="1"/>
  <c r="X37" i="47" s="1"/>
  <c r="Y37" i="47" s="1"/>
  <c r="L37" i="47"/>
  <c r="M37" i="47" s="1"/>
  <c r="N37" i="47" s="1"/>
  <c r="O37" i="47" s="1"/>
  <c r="P37" i="47" s="1"/>
  <c r="Q37" i="47" s="1"/>
  <c r="E37" i="47"/>
  <c r="F37" i="47" s="1"/>
  <c r="G37" i="47" s="1"/>
  <c r="H37" i="47" s="1"/>
  <c r="I37" i="47" s="1"/>
  <c r="D37" i="47"/>
  <c r="AB36" i="47"/>
  <c r="AC36" i="47" s="1"/>
  <c r="AD36" i="47" s="1"/>
  <c r="AE36" i="47" s="1"/>
  <c r="AF36" i="47" s="1"/>
  <c r="AG36" i="47" s="1"/>
  <c r="T36" i="47"/>
  <c r="U36" i="47" s="1"/>
  <c r="V36" i="47" s="1"/>
  <c r="W36" i="47" s="1"/>
  <c r="X36" i="47" s="1"/>
  <c r="Y36" i="47" s="1"/>
  <c r="L36" i="47"/>
  <c r="M36" i="47" s="1"/>
  <c r="N36" i="47" s="1"/>
  <c r="O36" i="47" s="1"/>
  <c r="P36" i="47" s="1"/>
  <c r="Q36" i="47" s="1"/>
  <c r="D36" i="47"/>
  <c r="E36" i="47" s="1"/>
  <c r="F36" i="47" s="1"/>
  <c r="G36" i="47" s="1"/>
  <c r="H36" i="47" s="1"/>
  <c r="I36" i="47" s="1"/>
  <c r="AB35" i="47"/>
  <c r="AC35" i="47" s="1"/>
  <c r="AD35" i="47" s="1"/>
  <c r="AE35" i="47" s="1"/>
  <c r="AF35" i="47" s="1"/>
  <c r="AG35" i="47" s="1"/>
  <c r="T35" i="47"/>
  <c r="U35" i="47" s="1"/>
  <c r="V35" i="47" s="1"/>
  <c r="W35" i="47" s="1"/>
  <c r="X35" i="47" s="1"/>
  <c r="Y35" i="47" s="1"/>
  <c r="L35" i="47"/>
  <c r="M35" i="47" s="1"/>
  <c r="N35" i="47" s="1"/>
  <c r="O35" i="47" s="1"/>
  <c r="P35" i="47" s="1"/>
  <c r="Q35" i="47" s="1"/>
  <c r="E35" i="47"/>
  <c r="F35" i="47" s="1"/>
  <c r="G35" i="47" s="1"/>
  <c r="H35" i="47" s="1"/>
  <c r="I35" i="47" s="1"/>
  <c r="D35" i="47"/>
  <c r="AD34" i="47"/>
  <c r="AE34" i="47" s="1"/>
  <c r="AF34" i="47" s="1"/>
  <c r="AG34" i="47" s="1"/>
  <c r="AC34" i="47"/>
  <c r="AB34" i="47"/>
  <c r="U34" i="47"/>
  <c r="V34" i="47" s="1"/>
  <c r="W34" i="47" s="1"/>
  <c r="X34" i="47" s="1"/>
  <c r="Y34" i="47" s="1"/>
  <c r="T34" i="47"/>
  <c r="M34" i="47"/>
  <c r="N34" i="47" s="1"/>
  <c r="O34" i="47" s="1"/>
  <c r="P34" i="47" s="1"/>
  <c r="Q34" i="47" s="1"/>
  <c r="L34" i="47"/>
  <c r="D34" i="47"/>
  <c r="E34" i="47" s="1"/>
  <c r="F34" i="47" s="1"/>
  <c r="G34" i="47" s="1"/>
  <c r="H34" i="47" s="1"/>
  <c r="I34" i="47" s="1"/>
  <c r="AC33" i="47"/>
  <c r="AD33" i="47" s="1"/>
  <c r="AE33" i="47" s="1"/>
  <c r="AF33" i="47" s="1"/>
  <c r="AG33" i="47" s="1"/>
  <c r="AB33" i="47"/>
  <c r="T33" i="47"/>
  <c r="U33" i="47" s="1"/>
  <c r="V33" i="47" s="1"/>
  <c r="W33" i="47" s="1"/>
  <c r="X33" i="47" s="1"/>
  <c r="Y33" i="47" s="1"/>
  <c r="L33" i="47"/>
  <c r="M33" i="47" s="1"/>
  <c r="N33" i="47" s="1"/>
  <c r="O33" i="47" s="1"/>
  <c r="P33" i="47" s="1"/>
  <c r="Q33" i="47" s="1"/>
  <c r="D33" i="47"/>
  <c r="E33" i="47" s="1"/>
  <c r="F33" i="47" s="1"/>
  <c r="G33" i="47" s="1"/>
  <c r="H33" i="47" s="1"/>
  <c r="I33" i="47" s="1"/>
  <c r="AB32" i="47"/>
  <c r="AC32" i="47" s="1"/>
  <c r="AD32" i="47" s="1"/>
  <c r="AE32" i="47" s="1"/>
  <c r="AF32" i="47" s="1"/>
  <c r="AG32" i="47" s="1"/>
  <c r="T32" i="47"/>
  <c r="U32" i="47" s="1"/>
  <c r="V32" i="47" s="1"/>
  <c r="W32" i="47" s="1"/>
  <c r="X32" i="47" s="1"/>
  <c r="Y32" i="47" s="1"/>
  <c r="L32" i="47"/>
  <c r="M32" i="47" s="1"/>
  <c r="N32" i="47" s="1"/>
  <c r="O32" i="47" s="1"/>
  <c r="P32" i="47" s="1"/>
  <c r="Q32" i="47" s="1"/>
  <c r="F32" i="47"/>
  <c r="G32" i="47" s="1"/>
  <c r="H32" i="47" s="1"/>
  <c r="I32" i="47" s="1"/>
  <c r="E32" i="47"/>
  <c r="D32" i="47"/>
  <c r="AC31" i="47"/>
  <c r="AD31" i="47" s="1"/>
  <c r="AE31" i="47" s="1"/>
  <c r="AF31" i="47" s="1"/>
  <c r="AG31" i="47" s="1"/>
  <c r="AB31" i="47"/>
  <c r="V31" i="47"/>
  <c r="W31" i="47" s="1"/>
  <c r="X31" i="47" s="1"/>
  <c r="Y31" i="47" s="1"/>
  <c r="U31" i="47"/>
  <c r="T31" i="47"/>
  <c r="L31" i="47"/>
  <c r="M31" i="47" s="1"/>
  <c r="N31" i="47" s="1"/>
  <c r="O31" i="47" s="1"/>
  <c r="P31" i="47" s="1"/>
  <c r="Q31" i="47" s="1"/>
  <c r="E31" i="47"/>
  <c r="F31" i="47" s="1"/>
  <c r="G31" i="47" s="1"/>
  <c r="H31" i="47" s="1"/>
  <c r="I31" i="47" s="1"/>
  <c r="D31" i="47"/>
  <c r="AB30" i="47"/>
  <c r="AC30" i="47" s="1"/>
  <c r="AD30" i="47" s="1"/>
  <c r="AE30" i="47" s="1"/>
  <c r="AF30" i="47" s="1"/>
  <c r="AG30" i="47" s="1"/>
  <c r="T30" i="47"/>
  <c r="U30" i="47" s="1"/>
  <c r="V30" i="47" s="1"/>
  <c r="W30" i="47" s="1"/>
  <c r="X30" i="47" s="1"/>
  <c r="Y30" i="47" s="1"/>
  <c r="L30" i="47"/>
  <c r="M30" i="47" s="1"/>
  <c r="N30" i="47" s="1"/>
  <c r="O30" i="47" s="1"/>
  <c r="P30" i="47" s="1"/>
  <c r="Q30" i="47" s="1"/>
  <c r="D30" i="47"/>
  <c r="E30" i="47" s="1"/>
  <c r="F30" i="47" s="1"/>
  <c r="G30" i="47" s="1"/>
  <c r="H30" i="47" s="1"/>
  <c r="I30" i="47" s="1"/>
  <c r="AD29" i="47"/>
  <c r="AE29" i="47" s="1"/>
  <c r="AF29" i="47" s="1"/>
  <c r="AG29" i="47" s="1"/>
  <c r="AC29" i="47"/>
  <c r="AB29" i="47"/>
  <c r="T29" i="47"/>
  <c r="U29" i="47" s="1"/>
  <c r="V29" i="47" s="1"/>
  <c r="W29" i="47" s="1"/>
  <c r="X29" i="47" s="1"/>
  <c r="Y29" i="47" s="1"/>
  <c r="Q29" i="47"/>
  <c r="N29" i="47"/>
  <c r="O29" i="47" s="1"/>
  <c r="P29" i="47" s="1"/>
  <c r="M29" i="47"/>
  <c r="L29" i="47"/>
  <c r="E29" i="47"/>
  <c r="F29" i="47" s="1"/>
  <c r="G29" i="47" s="1"/>
  <c r="H29" i="47" s="1"/>
  <c r="I29" i="47" s="1"/>
  <c r="D29" i="47"/>
  <c r="AD28" i="47"/>
  <c r="AE28" i="47" s="1"/>
  <c r="AF28" i="47" s="1"/>
  <c r="AG28" i="47" s="1"/>
  <c r="AC28" i="47"/>
  <c r="AB28" i="47"/>
  <c r="U28" i="47"/>
  <c r="V28" i="47" s="1"/>
  <c r="W28" i="47" s="1"/>
  <c r="X28" i="47" s="1"/>
  <c r="Y28" i="47" s="1"/>
  <c r="T28" i="47"/>
  <c r="M28" i="47"/>
  <c r="N28" i="47" s="1"/>
  <c r="O28" i="47" s="1"/>
  <c r="P28" i="47" s="1"/>
  <c r="Q28" i="47" s="1"/>
  <c r="L28" i="47"/>
  <c r="D28" i="47"/>
  <c r="E28" i="47" s="1"/>
  <c r="F28" i="47" s="1"/>
  <c r="G28" i="47" s="1"/>
  <c r="H28" i="47" s="1"/>
  <c r="I28" i="47" s="1"/>
  <c r="AC27" i="47"/>
  <c r="AD27" i="47" s="1"/>
  <c r="AE27" i="47" s="1"/>
  <c r="AF27" i="47" s="1"/>
  <c r="AG27" i="47" s="1"/>
  <c r="AB27" i="47"/>
  <c r="T27" i="47"/>
  <c r="U27" i="47" s="1"/>
  <c r="V27" i="47" s="1"/>
  <c r="W27" i="47" s="1"/>
  <c r="X27" i="47" s="1"/>
  <c r="Y27" i="47" s="1"/>
  <c r="L27" i="47"/>
  <c r="M27" i="47" s="1"/>
  <c r="N27" i="47" s="1"/>
  <c r="O27" i="47" s="1"/>
  <c r="P27" i="47" s="1"/>
  <c r="Q27" i="47" s="1"/>
  <c r="D27" i="47"/>
  <c r="E27" i="47" s="1"/>
  <c r="F27" i="47" s="1"/>
  <c r="G27" i="47" s="1"/>
  <c r="H27" i="47" s="1"/>
  <c r="I27" i="47" s="1"/>
  <c r="AB26" i="47"/>
  <c r="AC26" i="47" s="1"/>
  <c r="AD26" i="47" s="1"/>
  <c r="AE26" i="47" s="1"/>
  <c r="AF26" i="47" s="1"/>
  <c r="AG26" i="47" s="1"/>
  <c r="T26" i="47"/>
  <c r="U26" i="47" s="1"/>
  <c r="V26" i="47" s="1"/>
  <c r="W26" i="47" s="1"/>
  <c r="X26" i="47" s="1"/>
  <c r="Y26" i="47" s="1"/>
  <c r="L26" i="47"/>
  <c r="M26" i="47" s="1"/>
  <c r="N26" i="47" s="1"/>
  <c r="O26" i="47" s="1"/>
  <c r="P26" i="47" s="1"/>
  <c r="Q26" i="47" s="1"/>
  <c r="F26" i="47"/>
  <c r="G26" i="47" s="1"/>
  <c r="H26" i="47" s="1"/>
  <c r="I26" i="47" s="1"/>
  <c r="E26" i="47"/>
  <c r="D26" i="47"/>
  <c r="AC25" i="47"/>
  <c r="AD25" i="47" s="1"/>
  <c r="AE25" i="47" s="1"/>
  <c r="AF25" i="47" s="1"/>
  <c r="AG25" i="47" s="1"/>
  <c r="AB25" i="47"/>
  <c r="V25" i="47"/>
  <c r="W25" i="47" s="1"/>
  <c r="X25" i="47" s="1"/>
  <c r="Y25" i="47" s="1"/>
  <c r="U25" i="47"/>
  <c r="T25" i="47"/>
  <c r="L25" i="47"/>
  <c r="M25" i="47" s="1"/>
  <c r="N25" i="47" s="1"/>
  <c r="O25" i="47" s="1"/>
  <c r="P25" i="47" s="1"/>
  <c r="Q25" i="47" s="1"/>
  <c r="E25" i="47"/>
  <c r="F25" i="47" s="1"/>
  <c r="G25" i="47" s="1"/>
  <c r="H25" i="47" s="1"/>
  <c r="I25" i="47" s="1"/>
  <c r="D25" i="47"/>
  <c r="AB24" i="47"/>
  <c r="AC24" i="47" s="1"/>
  <c r="AD24" i="47" s="1"/>
  <c r="AE24" i="47" s="1"/>
  <c r="AF24" i="47" s="1"/>
  <c r="AG24" i="47" s="1"/>
  <c r="T24" i="47"/>
  <c r="U24" i="47" s="1"/>
  <c r="V24" i="47" s="1"/>
  <c r="W24" i="47" s="1"/>
  <c r="X24" i="47" s="1"/>
  <c r="Y24" i="47" s="1"/>
  <c r="L24" i="47"/>
  <c r="M24" i="47" s="1"/>
  <c r="N24" i="47" s="1"/>
  <c r="O24" i="47" s="1"/>
  <c r="P24" i="47" s="1"/>
  <c r="Q24" i="47" s="1"/>
  <c r="D24" i="47"/>
  <c r="E24" i="47" s="1"/>
  <c r="F24" i="47" s="1"/>
  <c r="G24" i="47" s="1"/>
  <c r="H24" i="47" s="1"/>
  <c r="I24" i="47" s="1"/>
  <c r="AD23" i="47"/>
  <c r="AE23" i="47" s="1"/>
  <c r="AF23" i="47" s="1"/>
  <c r="AG23" i="47" s="1"/>
  <c r="AC23" i="47"/>
  <c r="AB23" i="47"/>
  <c r="T23" i="47"/>
  <c r="U23" i="47" s="1"/>
  <c r="V23" i="47" s="1"/>
  <c r="W23" i="47" s="1"/>
  <c r="X23" i="47" s="1"/>
  <c r="Y23" i="47" s="1"/>
  <c r="L23" i="47"/>
  <c r="M23" i="47" s="1"/>
  <c r="N23" i="47" s="1"/>
  <c r="O23" i="47" s="1"/>
  <c r="P23" i="47" s="1"/>
  <c r="Q23" i="47" s="1"/>
  <c r="E23" i="47"/>
  <c r="F23" i="47" s="1"/>
  <c r="G23" i="47" s="1"/>
  <c r="H23" i="47" s="1"/>
  <c r="I23" i="47" s="1"/>
  <c r="D23" i="47"/>
  <c r="AD22" i="47"/>
  <c r="AE22" i="47" s="1"/>
  <c r="AF22" i="47" s="1"/>
  <c r="AG22" i="47" s="1"/>
  <c r="AC22" i="47"/>
  <c r="AB22" i="47"/>
  <c r="U22" i="47"/>
  <c r="V22" i="47" s="1"/>
  <c r="W22" i="47" s="1"/>
  <c r="X22" i="47" s="1"/>
  <c r="Y22" i="47" s="1"/>
  <c r="T22" i="47"/>
  <c r="M22" i="47"/>
  <c r="N22" i="47" s="1"/>
  <c r="O22" i="47" s="1"/>
  <c r="P22" i="47" s="1"/>
  <c r="Q22" i="47" s="1"/>
  <c r="L22" i="47"/>
  <c r="D22" i="47"/>
  <c r="E22" i="47" s="1"/>
  <c r="F22" i="47" s="1"/>
  <c r="G22" i="47" s="1"/>
  <c r="H22" i="47" s="1"/>
  <c r="I22" i="47" s="1"/>
  <c r="AC21" i="47"/>
  <c r="AD21" i="47" s="1"/>
  <c r="AE21" i="47" s="1"/>
  <c r="AF21" i="47" s="1"/>
  <c r="AG21" i="47" s="1"/>
  <c r="AB21" i="47"/>
  <c r="T21" i="47"/>
  <c r="U21" i="47" s="1"/>
  <c r="V21" i="47" s="1"/>
  <c r="W21" i="47" s="1"/>
  <c r="X21" i="47" s="1"/>
  <c r="Y21" i="47" s="1"/>
  <c r="L21" i="47"/>
  <c r="M21" i="47" s="1"/>
  <c r="N21" i="47" s="1"/>
  <c r="O21" i="47" s="1"/>
  <c r="P21" i="47" s="1"/>
  <c r="Q21" i="47" s="1"/>
  <c r="D21" i="47"/>
  <c r="E21" i="47" s="1"/>
  <c r="F21" i="47" s="1"/>
  <c r="G21" i="47" s="1"/>
  <c r="H21" i="47" s="1"/>
  <c r="I21" i="47" s="1"/>
  <c r="AD20" i="47"/>
  <c r="AE20" i="47" s="1"/>
  <c r="AF20" i="47" s="1"/>
  <c r="AG20" i="47" s="1"/>
  <c r="AC20" i="47"/>
  <c r="AB20" i="47"/>
  <c r="T20" i="47"/>
  <c r="U20" i="47" s="1"/>
  <c r="V20" i="47" s="1"/>
  <c r="W20" i="47" s="1"/>
  <c r="X20" i="47" s="1"/>
  <c r="Y20" i="47" s="1"/>
  <c r="N20" i="47"/>
  <c r="O20" i="47" s="1"/>
  <c r="P20" i="47" s="1"/>
  <c r="Q20" i="47" s="1"/>
  <c r="M20" i="47"/>
  <c r="L20" i="47"/>
  <c r="F20" i="47"/>
  <c r="G20" i="47" s="1"/>
  <c r="H20" i="47" s="1"/>
  <c r="I20" i="47" s="1"/>
  <c r="E20" i="47"/>
  <c r="D20" i="47"/>
  <c r="AC19" i="47"/>
  <c r="AD19" i="47" s="1"/>
  <c r="AE19" i="47" s="1"/>
  <c r="AF19" i="47" s="1"/>
  <c r="AG19" i="47" s="1"/>
  <c r="AB19" i="47"/>
  <c r="V19" i="47"/>
  <c r="W19" i="47" s="1"/>
  <c r="X19" i="47" s="1"/>
  <c r="Y19" i="47" s="1"/>
  <c r="U19" i="47"/>
  <c r="T19" i="47"/>
  <c r="L19" i="47"/>
  <c r="M19" i="47" s="1"/>
  <c r="N19" i="47" s="1"/>
  <c r="O19" i="47" s="1"/>
  <c r="P19" i="47" s="1"/>
  <c r="Q19" i="47" s="1"/>
  <c r="E19" i="47"/>
  <c r="F19" i="47" s="1"/>
  <c r="G19" i="47" s="1"/>
  <c r="H19" i="47" s="1"/>
  <c r="I19" i="47" s="1"/>
  <c r="D19" i="47"/>
  <c r="AB18" i="47"/>
  <c r="AC18" i="47" s="1"/>
  <c r="AD18" i="47" s="1"/>
  <c r="AE18" i="47" s="1"/>
  <c r="AF18" i="47" s="1"/>
  <c r="AG18" i="47" s="1"/>
  <c r="T18" i="47"/>
  <c r="U18" i="47" s="1"/>
  <c r="V18" i="47" s="1"/>
  <c r="W18" i="47" s="1"/>
  <c r="X18" i="47" s="1"/>
  <c r="Y18" i="47" s="1"/>
  <c r="L18" i="47"/>
  <c r="M18" i="47" s="1"/>
  <c r="N18" i="47" s="1"/>
  <c r="O18" i="47" s="1"/>
  <c r="P18" i="47" s="1"/>
  <c r="Q18" i="47" s="1"/>
  <c r="D18" i="47"/>
  <c r="E18" i="47" s="1"/>
  <c r="F18" i="47" s="1"/>
  <c r="G18" i="47" s="1"/>
  <c r="H18" i="47" s="1"/>
  <c r="I18" i="47" s="1"/>
  <c r="AB17" i="47"/>
  <c r="AC17" i="47" s="1"/>
  <c r="AD17" i="47" s="1"/>
  <c r="AE17" i="47" s="1"/>
  <c r="AF17" i="47" s="1"/>
  <c r="AG17" i="47" s="1"/>
  <c r="V17" i="47"/>
  <c r="W17" i="47" s="1"/>
  <c r="X17" i="47" s="1"/>
  <c r="Y17" i="47" s="1"/>
  <c r="U17" i="47"/>
  <c r="T17" i="47"/>
  <c r="L17" i="47"/>
  <c r="M17" i="47" s="1"/>
  <c r="N17" i="47" s="1"/>
  <c r="O17" i="47" s="1"/>
  <c r="P17" i="47" s="1"/>
  <c r="Q17" i="47" s="1"/>
  <c r="E17" i="47"/>
  <c r="F17" i="47" s="1"/>
  <c r="G17" i="47" s="1"/>
  <c r="H17" i="47" s="1"/>
  <c r="I17" i="47" s="1"/>
  <c r="D17" i="47"/>
  <c r="AD16" i="47"/>
  <c r="AE16" i="47" s="1"/>
  <c r="AF16" i="47" s="1"/>
  <c r="AG16" i="47" s="1"/>
  <c r="AC16" i="47"/>
  <c r="AB16" i="47"/>
  <c r="U16" i="47"/>
  <c r="V16" i="47" s="1"/>
  <c r="W16" i="47" s="1"/>
  <c r="X16" i="47" s="1"/>
  <c r="Y16" i="47" s="1"/>
  <c r="T16" i="47"/>
  <c r="M16" i="47"/>
  <c r="N16" i="47" s="1"/>
  <c r="O16" i="47" s="1"/>
  <c r="P16" i="47" s="1"/>
  <c r="Q16" i="47" s="1"/>
  <c r="L16" i="47"/>
  <c r="D16" i="47"/>
  <c r="E16" i="47" s="1"/>
  <c r="F16" i="47" s="1"/>
  <c r="G16" i="47" s="1"/>
  <c r="H16" i="47" s="1"/>
  <c r="I16" i="47" s="1"/>
  <c r="AC15" i="47"/>
  <c r="AD15" i="47" s="1"/>
  <c r="AE15" i="47" s="1"/>
  <c r="AF15" i="47" s="1"/>
  <c r="AG15" i="47" s="1"/>
  <c r="AB15" i="47"/>
  <c r="T15" i="47"/>
  <c r="U15" i="47" s="1"/>
  <c r="V15" i="47" s="1"/>
  <c r="W15" i="47" s="1"/>
  <c r="X15" i="47" s="1"/>
  <c r="Y15" i="47" s="1"/>
  <c r="L15" i="47"/>
  <c r="M15" i="47" s="1"/>
  <c r="N15" i="47" s="1"/>
  <c r="O15" i="47" s="1"/>
  <c r="P15" i="47" s="1"/>
  <c r="Q15" i="47" s="1"/>
  <c r="D15" i="47"/>
  <c r="E15" i="47" s="1"/>
  <c r="F15" i="47" s="1"/>
  <c r="G15" i="47" s="1"/>
  <c r="H15" i="47" s="1"/>
  <c r="I15" i="47" s="1"/>
  <c r="AB14" i="47"/>
  <c r="AC14" i="47" s="1"/>
  <c r="AD14" i="47" s="1"/>
  <c r="AE14" i="47" s="1"/>
  <c r="AF14" i="47" s="1"/>
  <c r="AG14" i="47" s="1"/>
  <c r="T14" i="47"/>
  <c r="U14" i="47" s="1"/>
  <c r="V14" i="47" s="1"/>
  <c r="W14" i="47" s="1"/>
  <c r="X14" i="47" s="1"/>
  <c r="Y14" i="47" s="1"/>
  <c r="L14" i="47"/>
  <c r="M14" i="47" s="1"/>
  <c r="N14" i="47" s="1"/>
  <c r="O14" i="47" s="1"/>
  <c r="P14" i="47" s="1"/>
  <c r="Q14" i="47" s="1"/>
  <c r="F14" i="47"/>
  <c r="G14" i="47" s="1"/>
  <c r="H14" i="47" s="1"/>
  <c r="I14" i="47" s="1"/>
  <c r="E14" i="47"/>
  <c r="D14" i="47"/>
  <c r="AC13" i="47"/>
  <c r="AD13" i="47" s="1"/>
  <c r="AE13" i="47" s="1"/>
  <c r="AF13" i="47" s="1"/>
  <c r="AG13" i="47" s="1"/>
  <c r="AB13" i="47"/>
  <c r="V13" i="47"/>
  <c r="W13" i="47" s="1"/>
  <c r="X13" i="47" s="1"/>
  <c r="Y13" i="47" s="1"/>
  <c r="U13" i="47"/>
  <c r="T13" i="47"/>
  <c r="L13" i="47"/>
  <c r="M13" i="47" s="1"/>
  <c r="N13" i="47" s="1"/>
  <c r="O13" i="47" s="1"/>
  <c r="P13" i="47" s="1"/>
  <c r="Q13" i="47" s="1"/>
  <c r="E13" i="47"/>
  <c r="F13" i="47" s="1"/>
  <c r="G13" i="47" s="1"/>
  <c r="H13" i="47" s="1"/>
  <c r="I13" i="47" s="1"/>
  <c r="D13" i="47"/>
  <c r="AB12" i="47"/>
  <c r="AC12" i="47" s="1"/>
  <c r="AD12" i="47" s="1"/>
  <c r="AE12" i="47" s="1"/>
  <c r="AF12" i="47" s="1"/>
  <c r="AG12" i="47" s="1"/>
  <c r="T12" i="47"/>
  <c r="U12" i="47" s="1"/>
  <c r="V12" i="47" s="1"/>
  <c r="W12" i="47" s="1"/>
  <c r="X12" i="47" s="1"/>
  <c r="Y12" i="47" s="1"/>
  <c r="L12" i="47"/>
  <c r="M12" i="47" s="1"/>
  <c r="N12" i="47" s="1"/>
  <c r="O12" i="47" s="1"/>
  <c r="P12" i="47" s="1"/>
  <c r="Q12" i="47" s="1"/>
  <c r="D12" i="47"/>
  <c r="E12" i="47" s="1"/>
  <c r="F12" i="47" s="1"/>
  <c r="G12" i="47" s="1"/>
  <c r="H12" i="47" s="1"/>
  <c r="I12" i="47" s="1"/>
  <c r="AB11" i="47"/>
  <c r="AC11" i="47" s="1"/>
  <c r="AD11" i="47" s="1"/>
  <c r="AE11" i="47" s="1"/>
  <c r="AF11" i="47" s="1"/>
  <c r="AG11" i="47" s="1"/>
  <c r="T11" i="47"/>
  <c r="U11" i="47" s="1"/>
  <c r="V11" i="47" s="1"/>
  <c r="W11" i="47" s="1"/>
  <c r="X11" i="47" s="1"/>
  <c r="Y11" i="47" s="1"/>
  <c r="L11" i="47"/>
  <c r="M11" i="47" s="1"/>
  <c r="N11" i="47" s="1"/>
  <c r="O11" i="47" s="1"/>
  <c r="P11" i="47" s="1"/>
  <c r="Q11" i="47" s="1"/>
  <c r="E11" i="47"/>
  <c r="F11" i="47" s="1"/>
  <c r="G11" i="47" s="1"/>
  <c r="H11" i="47" s="1"/>
  <c r="I11" i="47" s="1"/>
  <c r="D11" i="47"/>
  <c r="AD10" i="47"/>
  <c r="AE10" i="47" s="1"/>
  <c r="AF10" i="47" s="1"/>
  <c r="AG10" i="47" s="1"/>
  <c r="AC10" i="47"/>
  <c r="AB10" i="47"/>
  <c r="U10" i="47"/>
  <c r="V10" i="47" s="1"/>
  <c r="W10" i="47" s="1"/>
  <c r="X10" i="47" s="1"/>
  <c r="Y10" i="47" s="1"/>
  <c r="T10" i="47"/>
  <c r="M10" i="47"/>
  <c r="N10" i="47" s="1"/>
  <c r="O10" i="47" s="1"/>
  <c r="P10" i="47" s="1"/>
  <c r="Q10" i="47" s="1"/>
  <c r="L10" i="47"/>
  <c r="D10" i="47"/>
  <c r="E10" i="47" s="1"/>
  <c r="F10" i="47" s="1"/>
  <c r="G10" i="47" s="1"/>
  <c r="H10" i="47" s="1"/>
  <c r="I10" i="47" s="1"/>
  <c r="AC9" i="47"/>
  <c r="AD9" i="47" s="1"/>
  <c r="AE9" i="47" s="1"/>
  <c r="AF9" i="47" s="1"/>
  <c r="AG9" i="47" s="1"/>
  <c r="AB9" i="47"/>
  <c r="T9" i="47"/>
  <c r="U9" i="47" s="1"/>
  <c r="V9" i="47" s="1"/>
  <c r="W9" i="47" s="1"/>
  <c r="X9" i="47" s="1"/>
  <c r="Y9" i="47" s="1"/>
  <c r="L9" i="47"/>
  <c r="M9" i="47" s="1"/>
  <c r="N9" i="47" s="1"/>
  <c r="O9" i="47" s="1"/>
  <c r="P9" i="47" s="1"/>
  <c r="Q9" i="47" s="1"/>
  <c r="D9" i="47"/>
  <c r="E9" i="47" s="1"/>
  <c r="F9" i="47" s="1"/>
  <c r="G9" i="47" s="1"/>
  <c r="H9" i="47" s="1"/>
  <c r="I9" i="47" s="1"/>
  <c r="AB8" i="47"/>
  <c r="AC8" i="47" s="1"/>
  <c r="AD8" i="47" s="1"/>
  <c r="AE8" i="47" s="1"/>
  <c r="AF8" i="47" s="1"/>
  <c r="AG8" i="47" s="1"/>
  <c r="T8" i="47"/>
  <c r="U8" i="47" s="1"/>
  <c r="V8" i="47" s="1"/>
  <c r="W8" i="47" s="1"/>
  <c r="X8" i="47" s="1"/>
  <c r="Y8" i="47" s="1"/>
  <c r="L8" i="47"/>
  <c r="M8" i="47" s="1"/>
  <c r="N8" i="47" s="1"/>
  <c r="O8" i="47" s="1"/>
  <c r="P8" i="47" s="1"/>
  <c r="Q8" i="47" s="1"/>
  <c r="F8" i="47"/>
  <c r="G8" i="47" s="1"/>
  <c r="H8" i="47" s="1"/>
  <c r="I8" i="47" s="1"/>
  <c r="E8" i="47"/>
  <c r="D8" i="47"/>
  <c r="AC7" i="47"/>
  <c r="AD7" i="47" s="1"/>
  <c r="AE7" i="47" s="1"/>
  <c r="AF7" i="47" s="1"/>
  <c r="AG7" i="47" s="1"/>
  <c r="AB7" i="47"/>
  <c r="V7" i="47"/>
  <c r="W7" i="47" s="1"/>
  <c r="X7" i="47" s="1"/>
  <c r="Y7" i="47" s="1"/>
  <c r="U7" i="47"/>
  <c r="T7" i="47"/>
  <c r="L7" i="47"/>
  <c r="M7" i="47" s="1"/>
  <c r="N7" i="47" s="1"/>
  <c r="O7" i="47" s="1"/>
  <c r="P7" i="47" s="1"/>
  <c r="Q7" i="47" s="1"/>
  <c r="E7" i="47"/>
  <c r="F7" i="47" s="1"/>
  <c r="G7" i="47" s="1"/>
  <c r="H7" i="47" s="1"/>
  <c r="I7" i="47" s="1"/>
  <c r="D7" i="47"/>
  <c r="D33" i="49" l="1"/>
  <c r="D31" i="49"/>
  <c r="D76" i="49" s="1"/>
  <c r="D30" i="49"/>
  <c r="D29" i="49"/>
  <c r="D28" i="49"/>
  <c r="D25" i="49"/>
  <c r="D75" i="49" s="1"/>
  <c r="D24" i="49"/>
  <c r="D23" i="49"/>
  <c r="D22" i="49"/>
  <c r="I39" i="39"/>
  <c r="D12" i="49" s="1"/>
  <c r="D73" i="49" s="1"/>
  <c r="I32" i="39"/>
  <c r="D11" i="49" s="1"/>
  <c r="I25" i="39"/>
  <c r="D10" i="49" s="1"/>
  <c r="I18" i="39"/>
  <c r="D9" i="49" s="1"/>
  <c r="I11" i="39"/>
  <c r="D8" i="49" s="1"/>
  <c r="I43" i="38"/>
  <c r="D19" i="49" s="1"/>
  <c r="D74" i="49" s="1"/>
  <c r="I35" i="38"/>
  <c r="D18" i="49" s="1"/>
  <c r="I27" i="38"/>
  <c r="D17" i="49" s="1"/>
  <c r="I19" i="38"/>
  <c r="D16" i="49" s="1"/>
  <c r="I11" i="38"/>
  <c r="I11" i="37"/>
  <c r="D13" i="49" s="1"/>
  <c r="I43" i="35"/>
  <c r="D43" i="49" s="1"/>
  <c r="D78" i="49" s="1"/>
  <c r="I35" i="35"/>
  <c r="D42" i="49" s="1"/>
  <c r="I27" i="35"/>
  <c r="D41" i="49" s="1"/>
  <c r="I19" i="35"/>
  <c r="D40" i="49" s="1"/>
  <c r="I11" i="35"/>
  <c r="D39" i="49" s="1"/>
  <c r="I19" i="30"/>
  <c r="D46" i="49" s="1"/>
  <c r="I11" i="30"/>
  <c r="D45" i="49" s="1"/>
  <c r="I23" i="30" l="1"/>
  <c r="I47" i="35"/>
  <c r="I47" i="38"/>
  <c r="D15" i="49"/>
  <c r="I42" i="41"/>
  <c r="D27" i="49"/>
  <c r="I42" i="40"/>
  <c r="D21" i="49"/>
  <c r="I42" i="39"/>
  <c r="D71" i="49" l="1"/>
  <c r="D83" i="49" s="1"/>
</calcChain>
</file>

<file path=xl/sharedStrings.xml><?xml version="1.0" encoding="utf-8"?>
<sst xmlns="http://schemas.openxmlformats.org/spreadsheetml/2006/main" count="838" uniqueCount="444">
  <si>
    <t>Labor Category</t>
  </si>
  <si>
    <t>Hours</t>
  </si>
  <si>
    <t>Fully Burdened Hourly Rate</t>
  </si>
  <si>
    <t>Price</t>
  </si>
  <si>
    <t>CLIN X004 Total Price (Base and Option Years)</t>
  </si>
  <si>
    <t>CLIN X005 Total Price (Base and Option Year)</t>
  </si>
  <si>
    <t>Primary Work Site (Gov or Ktr)</t>
  </si>
  <si>
    <t>Work Location (Washington or STL)</t>
  </si>
  <si>
    <t>CLIN</t>
  </si>
  <si>
    <t>When not Filled in Entire Workbook is UNCLASSIFIED</t>
  </si>
  <si>
    <t>Purpose</t>
  </si>
  <si>
    <t>Instructions and Notes</t>
  </si>
  <si>
    <t>Tab 4 - IDIQ LCAT Rates</t>
  </si>
  <si>
    <t xml:space="preserve">DO NOT ALTER.  DO NOT ADD ADDITIONAL CATEGORIES OR MODIFY EXISTING FIELDS. </t>
  </si>
  <si>
    <t>The following Labor Category Levels shall be applied to each Labor Category to determine which personnel are appropriate for meeting contract needs, based upon project requirements.</t>
  </si>
  <si>
    <t>Labor Category Level</t>
  </si>
  <si>
    <t>Skills &amp; Tasks</t>
  </si>
  <si>
    <t>Work Level</t>
  </si>
  <si>
    <t>Guidance Required</t>
  </si>
  <si>
    <t>Education/Certification/Experience Required</t>
  </si>
  <si>
    <t>Jr.</t>
  </si>
  <si>
    <t>Able to follow established processes &amp; checklists</t>
  </si>
  <si>
    <t>Self-guided individual work</t>
  </si>
  <si>
    <t xml:space="preserve">Moderate/Minimal </t>
  </si>
  <si>
    <t>Bachelor’s degree, Associates degree plus 2 years experience, or a minimum of 4 years of experience, in a related field</t>
  </si>
  <si>
    <t>Understands &amp; applies basic concepts, ability to use more advanced concepts</t>
  </si>
  <si>
    <t>Proactive team member</t>
  </si>
  <si>
    <t>Over time, able to provide guidance &amp; direction to others</t>
  </si>
  <si>
    <t>Assists senior level technicians, specialists &amp; managers.</t>
  </si>
  <si>
    <t>Mid.</t>
  </si>
  <si>
    <t>Requires guidance only when dealing with new, uncertain, undefined or undeveloped tasks</t>
  </si>
  <si>
    <t>Bachelor’s degree with at least 3 years’ experience; or Associates degree plus 5 years experience; or a minimum of 8 years of experience in a related IT field</t>
  </si>
  <si>
    <t>Task lead</t>
  </si>
  <si>
    <t>Sr.</t>
  </si>
  <si>
    <t>Able to develop &amp; use more complex concepts &amp; processes:   Leads multiple Junior/Mid-level personnel</t>
  </si>
  <si>
    <t>Self-guided individual work,  Key Member of team</t>
  </si>
  <si>
    <t xml:space="preserve">Provides expert guidance &amp; direction (possibly as SME)
</t>
  </si>
  <si>
    <t>Has at least 7 years’ experience with a MA/MS or higher degree; or Bachelor’s degree plus 9 years experience; or Associates degree plus 10 years experience; or a minimum of 12 years experience in relevant IT field</t>
  </si>
  <si>
    <t xml:space="preserve">Conduct root cause problem analysis Performs multiple tasks at specialist level </t>
  </si>
  <si>
    <t>Proactive team member, Monitors task(s)</t>
  </si>
  <si>
    <t>Directs multiple personnel/contractors through entire project life cycle</t>
  </si>
  <si>
    <t>Applicable software/hardware training &amp; certification (e.g.; specialties such as Amazon Web Services (AWS) cloud developer/engineer, MCSE, etc.)</t>
  </si>
  <si>
    <t>Task lead, Provides issue resolution</t>
  </si>
  <si>
    <t>Performs all functional duties independently</t>
  </si>
  <si>
    <t>Typically works on high-visibility or mission critical aspects of a given program/application</t>
  </si>
  <si>
    <t>Guide &amp; support Journeyman level personnel</t>
  </si>
  <si>
    <t>SME</t>
  </si>
  <si>
    <t>Able to develop &amp; use exceptionally complex concepts &amp; processes that span multiple organizations and disciplines</t>
  </si>
  <si>
    <t>Leadership</t>
  </si>
  <si>
    <t xml:space="preserve">Provides expert guidance &amp; direction </t>
  </si>
  <si>
    <t>Master’s degree plus 6 years experience; or Bachelor’s degree plus 10 year experience; or Associates degree plus 14 years experience; or a minimum of 16 years experience in relevant IT field</t>
  </si>
  <si>
    <t>Performs multiple tasks at specialist level</t>
  </si>
  <si>
    <t>Management</t>
  </si>
  <si>
    <t>Applicable software/ hardware/management training &amp; certification (e.g.; specialties like Amazon Web Service architect/engineering, MCSE, etc.)</t>
  </si>
  <si>
    <t>Guides and Leads multiple Junior/Mid-level personnel</t>
  </si>
  <si>
    <t>Key member of team</t>
  </si>
  <si>
    <t>Provides strategic advice, technical guidance and expertise to program and project staff</t>
  </si>
  <si>
    <t>Recognized as a SME   </t>
  </si>
  <si>
    <t>Oversees or monitors task(s)</t>
  </si>
  <si>
    <t>Evaluates &amp; recommends new technology &amp; processes based upon cost, risk, mission</t>
  </si>
  <si>
    <t xml:space="preserve">Task lead and  Provides issue resolution </t>
  </si>
  <si>
    <t>Typically identified as recognized Industry leaders for a given area of expertise</t>
  </si>
  <si>
    <t>Initiates, supervises, and/or develops requirements from a project’s inception to conclusion for complex to extremely complex programs</t>
  </si>
  <si>
    <t>Qualifications and/or particular expertise are exceptional and/or highly unique</t>
  </si>
  <si>
    <t>Provides detailed analysis, evaluation and recommendations for improvement, optimization development, and/or maintenance efforts for client-specific or mission critical challenges/issues</t>
  </si>
  <si>
    <t>Consults with client to define need or problem, supervises studies, and leads analyses to collect and analyze data to provide advice and recommend solutions</t>
  </si>
  <si>
    <t xml:space="preserve">DO NOT ALTER.  DO NOT ADD ADDITIONAL LABOR CATEGORIES OR MODIFY DESCRIPTIONS. </t>
  </si>
  <si>
    <t>Description</t>
  </si>
  <si>
    <t>• Responsible for the successful cost, schedule, and performance of the contract
• Responsible for general oversight and overall execution of the contract providing support and direction to meet targeted outcomes and satisfy the PWS requirements.
• Serve as the main point of contact for the Contracting Officer (CO), the Contracting Officer’s Representative (COR), the Government Program Manager, and the Contractor’s senior management
• Directly contribute to program efforts in several areas, including cost management/avoidance, schedule estimation and tracking, contract performance management, risk management, requirements analysis, and quality assurance activities
• Ensure proper performance of tasks necessary to ensure the most efficient and effective execution of the contract 
• Utilize expert communication skills needed to direct the skilled technical resources and report on the technical progress, issues, and problem areas, as well as write and review technical documents</t>
  </si>
  <si>
    <t>• Responsible for the general oversight and overall execution of software development and maintenance utilizing Agile methodologies
• Responsible for ensuring the delivery of software to meet targeted outcomes and satisfy the PWS requirements
• Facilitate Agile processes, events, and lead process execution and refinement</t>
  </si>
  <si>
    <t>• Responsible for the creation, monitoring, implementation, and documentation of the end-to-end system. 
• Responsible for the realization of requirements
• Creates and reviews new and existing system designs to make recommendations for altering or improving the systems</t>
  </si>
  <si>
    <t>• Responsible for ensuring that appropriate operational security posture is maintained for an information system and as such, works in close collaboration with the Information System Owner (iSO)
• Oversee all work performed by the Information Assurance/Security Specialist personnel</t>
  </si>
  <si>
    <t>UI / UX Engineer</t>
  </si>
  <si>
    <t>• Responsible for vision, designing, and creating user interfaces that are visually appealing, easy to use, and intuitive 
• Collaborates with product managers, application engineers, super-users, and SME's to gather work-flow use case and requirements of users before designing ideas are communicated using storyboards, wireframes, prototypes and/or mockups 
• Creating user-centered designs by understanding business requirements, and user feedback 
• Creates Storyboards wireframes, prototypes and/or mockups for leadership consideration and applicability to program strategic objectives
• Develops process flows and or sitemaps
• Capable of interacting with select data sets via multifaceted, multi-dimensional modalities such as two-dimensional (2D), three-dimensional (3D), and hybrid immersive virtual reality (VR), augmented reality (AR), or extended reality (XR)
• Utilizes multi-modality tools, techniques, and applications designed to facilitate user access and dynamic visualization of geospatial data
• Translates requirements into style guides, design systems, design patterns and attractive user interfaces
• Ensures and applies coherent object perceptions that increase or add degrees of freedom (DoF), wider fields of view (FoV), and user controllable spatial awareness when viewing singular or integrated data feeds 
• Designs UI elements such as input controls, navigational components and informational components
• Leverages geospatial artificial intelligence (GeoAI) tools and techniques to discover, access, analyze, display, render, and interact with specific geospatial data
• Responsible for applying interactive and visual design principles on websites, web applications, and visualization tool 
• Identifying and troubleshooting UX problems
• Incorporating customer feedback, usage metrics, and usability findings into design in order to enhance user experience
• Working knowledge of the following technologies and software, Visio, HTML, CSS, Design Systems, and Adobe Creative Suite
• Possess excellent writing and communications ability</t>
  </si>
  <si>
    <t>Project Manager</t>
  </si>
  <si>
    <t xml:space="preserve">• Plan, execute, and close projects that meet or exceed customer objectives
• Create clear and attainable project objectives, build project requirements, and manage constraints of cost, time, scope, and quality
• Develop the overall project plan and manage project operations
• Manage the project stakeholders, project team, project risk, project schedule, project budget, and project conflicts
• Ensure team members know and execute their respective roles and the roles of the other team members
• Ensure production schedules are met and system resources are used effectively
• Coordinate resolution of production-related problems
• Ensures proper relationships are established between customers, teaming partners, and vendors to facilitate the delivery of information technology services
• Prepares programmatic documentation and delivers associated customer/stakeholder briefings and reports </t>
  </si>
  <si>
    <t>Help Desk/Support Specialist</t>
  </si>
  <si>
    <t>• Responsible for providing technical assistance and support related to computer systems, hardware, or software
• Responds to queries, runs diagnostic programs, isolates problem, and determines and implements solution
• Writes training manuals
• Trains computer users
• Responds to email or chat messages for customers seeking help
• Asks questions to determine nature of problem 
• Walks customers through problem-solving process 
• Runs diagnostic programs to resolve problems
• Follows up with customers to ensure issue has been resolved
• Gains feedback from customers about system usage
• Runs reports to determine malfunctions that continue to occur</t>
  </si>
  <si>
    <t>Information Assurance/Security Specialist</t>
  </si>
  <si>
    <t>•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Supports customers at the highest levels in the development and implementation of doctrine and policies  
• Applies know-how to government and commercial common user systems, as well as to dedicated special purpose systems requiring specialized security features and procedures 
• Performs analysis, design, and development of security features for system architectures  
• Analyzes and defines security requirements for computer systems which may include mainframes, workstations, and personal computers
• Designs, develops, engineers, and implements solutions that meet security requirements 
• Provides integration and implementation of the computer system security solution
• Analyzes general information assurance-related technical problems and provides basic engineering and technical support in solving these problems
• Performs vulnerability/risk analyses of computer systems and applications during all phases of the system development life cycle  
• Ensures that all information systems are functional and secure</t>
  </si>
  <si>
    <t>Software Engineer</t>
  </si>
  <si>
    <t>• Develops, maintains, and enhances complex and diverse software systems (e.g., processing-intensive analytics, novel algorithm development, manipulation of extremely large data sets, real-time systems, and business management information systems) based upon documented requirements
• Leads the requirements analysis, design, modification, development, and implementation of software programming applications
• Provides specific input to the software components of system design to include hardware/software trade-offs, software reuse, use of COTS/GOTS in place of new development, and requirements analysis and synthesis from system level to individual software components
• Expertise in a variety of software concepts, practices, and procedures with more advanced experience and skills in specialized software products
• Designs, implements, and integrates software applications or performs software engineering tasks 
• Utilizes software engineering and design methodologies appropriate to the development, integration, and production environment
• Ensures efficient delivery of software engineering capabilities using industry standards and repeatable processes
• Mitigates risks, controls costs and schedule variance, and effectively manages large scale, integrated software projects  
• Reviews and tests software components for adherence to the design requirements and documents test results
• Reviews and approves test cases, processes, and impact assessments 
• Develops, reviews, and approves software documentation
• Provides technical insight and advice to customers and senior leadership</t>
  </si>
  <si>
    <t>Systems Administrator</t>
  </si>
  <si>
    <t>• Perform systems administration of desktop and server systems connected to local and wide area networks
• Desktop system management responsibilities involving account monitoring, security, Operating System (OS) installation, and other local area system administration related functions
• Provide support for implementation, troubleshooting and maintenance of IT systems
• Manage IT system infrastructure and any processes related to these systems
• Provide support to IT systems including day-to-day operations, monitoring and problem resolution for all of the client/server/storage/network devices, mobile devices, etc. 
• Provide Tier 1 and Tier 2 problem identification, diagnosis and resolution of problem
• Provide support for the escalation and communication of status to agency management and internal customers
• Provide support for the dispatch system and hardware problems and remains involved in the resolution process
• Configure and manage UNIX and Windows operating systems
• Installs/loads operating system and application software
• Isolate and resolve of hardware and software problems involving the applications, the operating system, the hardware, the communications infrastructure, or any combination thereof 
• Troubleshoot, maintain integrity and configure network components along with implementing operating systems enhancements to improve reliability and performance
• Integrate new technologies into new and existing systems including the transition and migration of corporate system</t>
  </si>
  <si>
    <t>Systems Architect</t>
  </si>
  <si>
    <t>• Supports the development of cross functional or large-scale automated information systems to include enterprise architectures  
• Designs system architectures to include the software, hardware, and communications to support the total requirements and provides for present and future cross functional requirements and interfaces 
• Provides comprehensive definition of all aspects of system development from analysis of mission needs to verification of system performance  
• Performs evaluation of system alternatives and assessment of risks and costs</t>
  </si>
  <si>
    <t>Systems Engineer</t>
  </si>
  <si>
    <t>•  Analyze user’s requirements, concept of operations documents, and high level system architectures to develop system requirements specifications
•  Analyze system requirements and leads design and development activities
•  Guide users in formulating requirements, advises alternative approaches, and conducts feasibility studies
• Provide technical leadership for the integration of requirements, design, and technology
• Incorporate new plans, designs and systems into ongoing operations
• Develop system architecture and system design documentation
• Guide system development and implementation planning through assessment or preparation of system engineering management plans and system integration and test plans
• Interact with the Government regarding Systems Engineering technical considerations and for associated problems, issues or conflicts
• Responsible for the technical integrity of work performed and deliverables associated with the Systems Engineering area of responsibility
• Communicate with other program personnel, government overseers, and senior executives</t>
  </si>
  <si>
    <t>Sys/SW Integration/Test Engineer (Automation/Regression)</t>
  </si>
  <si>
    <t>• Analyzes system requirements and concept of operations documents, acquisition plans, and system descriptions to develop evaluation and test plans and procedures, prepare for and conduct the data collection and analysis, and report status and results
• Supports the development of Government test and evaluation documentation e.g., Test &amp; Evaluation (T&amp;E) Strategy, Test &amp; Evaluation Master Plan, Event Test Plans, Test Readiness Assessments, and V&amp;V T&amp;E Plans, Documentation &amp; Reports. 
• Works with other test organizations to support T&amp;E program integration
• Provides specialized T&amp;E capabilities tailored to system functions, level, maturity, and performance areas</t>
  </si>
  <si>
    <t>Data Scientist</t>
  </si>
  <si>
    <t>• Identifies trends and problems through complex big data analysis. 
• Interprets results from multiple sources using a variety of techniques, ranging from simple data aggregation via statistical analysis to complex data mining independently. 
• Designs, develops and implements the most valuable solutions for the project. 
• Prepares big data, implements data models and develops database to support the mission requirements.
• Engages stakeholders and provides the design and development of data science initiatives.
• Researches and incorporates emerging technologies and methods to continuously improve analytic capabilities to provide valuable results. 
• Possesses a knowledge of data science, analytical concepts and methods, and business operations.</t>
  </si>
  <si>
    <t>GIS Content Developer</t>
  </si>
  <si>
    <t>• Has experience with Geographic Information Systems (GIS) Applications including Open Source and Consumer off the Shelf Products (COTS) and a broad understanding of common Geospatial formats and datasets. 
• Interprets, analyzes, and troubleshoots spatial datasets and databases. 
• Creates geospatial data, raster or vector products, or publishes data to rest endpoints. 
• Ability to apply cartography to datasets and administer GIS applications, servers, databases, and user uploaded datasets.</t>
  </si>
  <si>
    <t>User Engagement / Training Specialist</t>
  </si>
  <si>
    <t>• Designs and executes a campaign plan aimed at obtaining wide spread adoption of existing and new capabilities. 
• Work with stakeholders and users to inform backlog prioritization. 
• Works with stakeholders and product management to align features and stories with solution level objectives. 
• Proactively engages Agile teams and release trains to ensure understanding of the mission user experience.
• Delivers training programs, demonstrations, and workshops. 
• Monitors the effectiveness of training using individual or group performance results. 
• Collects feedback on sessions from attendees to use for future improvements to content and presentation. 
• Develops new training program design and existing program enhancements including lesson plans and other training materials.</t>
  </si>
  <si>
    <t xml:space="preserve"> * = Key Personnel</t>
  </si>
  <si>
    <t>DO NOT ALTER. DO NOT ADD ADDITIONAL LABOR CATEGORIES.</t>
  </si>
  <si>
    <t>Offeror's Name</t>
  </si>
  <si>
    <t>Escalation Rates:</t>
  </si>
  <si>
    <t>Washington Fully Burdened Labor Rates (FBLRs) (Government Site)</t>
  </si>
  <si>
    <t>Washington FBLRs (Contractor Site)</t>
  </si>
  <si>
    <t>St Louis FBLRs (Government Site)</t>
  </si>
  <si>
    <t>St Louis FBLRs (Contractor Site)</t>
  </si>
  <si>
    <t>IDIQ Labor Categories</t>
  </si>
  <si>
    <t>CY2023</t>
  </si>
  <si>
    <t>CY2024</t>
  </si>
  <si>
    <t>CY2025</t>
  </si>
  <si>
    <t>CY2026</t>
  </si>
  <si>
    <t>CY2027</t>
  </si>
  <si>
    <t>CY2028</t>
  </si>
  <si>
    <t>CY2029</t>
  </si>
  <si>
    <t>Program Manager</t>
  </si>
  <si>
    <t>Chief Software Architect (CSA)</t>
  </si>
  <si>
    <t>Chief Systems Engineer (CSE)</t>
  </si>
  <si>
    <t>Information Systems Security Officer (ISSO)</t>
  </si>
  <si>
    <t>UI / UX  Engineer Jr. (Key)</t>
  </si>
  <si>
    <t>UI / UX  Engineer Mid. (Key)</t>
  </si>
  <si>
    <t>UI / UX Engineer Sr. (Key)</t>
  </si>
  <si>
    <t>UI / UX Engineer SME (Key)</t>
  </si>
  <si>
    <t>Proj Mgt, Jr</t>
  </si>
  <si>
    <t>Proj Mgt, Mid</t>
  </si>
  <si>
    <t>Proj Mgt, Sr</t>
  </si>
  <si>
    <t>Proj Mgt, SME</t>
  </si>
  <si>
    <t>System Architect, Jr (Key)</t>
  </si>
  <si>
    <t>System Architect, Mid (Key)</t>
  </si>
  <si>
    <t>System Architect, Sr (Key)</t>
  </si>
  <si>
    <t>System Architect SME (Key)</t>
  </si>
  <si>
    <t>Help Desk/Support Specialist, Jr</t>
  </si>
  <si>
    <t>Help Desk/Support Specialist, Mid</t>
  </si>
  <si>
    <t>Help Desk/Support Specialist, Sr</t>
  </si>
  <si>
    <t>Help Desk/Support Specialist, SME</t>
  </si>
  <si>
    <t>Information Assurance/Security Specialist, Jr (Key)</t>
  </si>
  <si>
    <t>Information Assurance/Security Specialist, Mid (Key)</t>
  </si>
  <si>
    <t>Information Assurance/Security Specialist, Sr (Key)</t>
  </si>
  <si>
    <t>Information Assurance/Security Specialist, SME (Key)</t>
  </si>
  <si>
    <t>SW Engineer, Jr</t>
  </si>
  <si>
    <t>SW Engineer, Mid</t>
  </si>
  <si>
    <t>SW Engineer, Sr</t>
  </si>
  <si>
    <t>SW Engineer, SME</t>
  </si>
  <si>
    <t>Sys Admin, Jr (Key)</t>
  </si>
  <si>
    <t>Sys Admin, Mid (Key)</t>
  </si>
  <si>
    <t>Sys Admin, Sr (Key)</t>
  </si>
  <si>
    <t>Sys Admin, SME (Key)</t>
  </si>
  <si>
    <t>Sys Engr, Jr</t>
  </si>
  <si>
    <t>Sys Engr, Mid</t>
  </si>
  <si>
    <t>Sys Engr, Sr</t>
  </si>
  <si>
    <t>Sys Engr, SME</t>
  </si>
  <si>
    <t>Sys/SW Integration/Test Engineer, Jr. (Automation/Regression) (Key)</t>
  </si>
  <si>
    <t>Sys/SW Integration/Test Engineer, Mid. (Automation/Regression) (Key)</t>
  </si>
  <si>
    <t>Sys/SW Integration/Test Engineer, Sr. (Automation/Regression) (Key)</t>
  </si>
  <si>
    <t>Sys/SW Integration/Test Engineer, SME  (Automation/Regression) (Key)</t>
  </si>
  <si>
    <t>Data Scientist, Jr (Key)</t>
  </si>
  <si>
    <t>Data Scientist, Mid (Key)</t>
  </si>
  <si>
    <t>Data Scientist, Sr (Key)</t>
  </si>
  <si>
    <t>Data Scientist, SME (Key)</t>
  </si>
  <si>
    <t>GIS Content Developer, Jr (Key)</t>
  </si>
  <si>
    <t>GIS Content Developer, Mid (Key)</t>
  </si>
  <si>
    <t>GIS Content Developer, Sr (Key)</t>
  </si>
  <si>
    <t>GIS Content Developer, SME (Key)</t>
  </si>
  <si>
    <t>User Engagement / Training Specialist, Jr (Key)</t>
  </si>
  <si>
    <t>User Engagement / Training Specialist, Mid (Key)</t>
  </si>
  <si>
    <t>User Engagement / Training Specialist, Sr (Key)</t>
  </si>
  <si>
    <t>User Engagement / Training Specialist, SME (Key)</t>
  </si>
  <si>
    <t>Stratus CLIN Structure</t>
  </si>
  <si>
    <t>Sub-CLIN</t>
  </si>
  <si>
    <t>IDIQ - Functional &amp; Capability Areas</t>
  </si>
  <si>
    <t>Contract Type</t>
  </si>
  <si>
    <t>Funding Type</t>
  </si>
  <si>
    <t>X001</t>
  </si>
  <si>
    <t>Operations and Sustainment</t>
  </si>
  <si>
    <t>Firm Fixed Price (FFP)</t>
  </si>
  <si>
    <t>Operations and Maintenance (O&amp;M)</t>
  </si>
  <si>
    <t>AA</t>
  </si>
  <si>
    <t>Operations &amp; Sustainment: MapStack</t>
  </si>
  <si>
    <t>Not Sepeately Priced (NSP)</t>
  </si>
  <si>
    <t>NSP</t>
  </si>
  <si>
    <t>AB</t>
  </si>
  <si>
    <t>Operations &amp; Sustainment: ICGIS Portal</t>
  </si>
  <si>
    <t>AC</t>
  </si>
  <si>
    <t>Operations &amp; Sustainment: Google Earth</t>
  </si>
  <si>
    <t>AD</t>
  </si>
  <si>
    <t>Operations &amp; Sustainment: SOM Discovery</t>
  </si>
  <si>
    <t>AE</t>
  </si>
  <si>
    <t>Operations &amp; Sustainment: USFK</t>
  </si>
  <si>
    <t>AF</t>
  </si>
  <si>
    <t>Operations &amp; Sustainment: Transition</t>
  </si>
  <si>
    <t>FFP</t>
  </si>
  <si>
    <t>O&amp;M</t>
  </si>
  <si>
    <t>X002</t>
  </si>
  <si>
    <t>Modernization, New Capability Development, Prototypes, Engineering Assessments</t>
  </si>
  <si>
    <t>Labor Hour (LH)</t>
  </si>
  <si>
    <t>Research, Development, Test and Engineering (RDT&amp;E)</t>
  </si>
  <si>
    <t>X003</t>
  </si>
  <si>
    <t>Sensors: Operations and Sustainment</t>
  </si>
  <si>
    <t>Operations &amp; Sustainment: LSeg</t>
  </si>
  <si>
    <t xml:space="preserve">FFP </t>
  </si>
  <si>
    <t>Operations &amp; Sustainment: NSeg</t>
  </si>
  <si>
    <t>Operations &amp; Sustainment: Enterprise Testing</t>
  </si>
  <si>
    <t>LH</t>
  </si>
  <si>
    <t>Operations &amp; Sustainment: Other</t>
  </si>
  <si>
    <t>X004</t>
  </si>
  <si>
    <t>LSeg Sensor</t>
  </si>
  <si>
    <t>RDT&amp;E</t>
  </si>
  <si>
    <t>X005</t>
  </si>
  <si>
    <t>NSeg Sensor</t>
  </si>
  <si>
    <t>X006</t>
  </si>
  <si>
    <t>New Sensor</t>
  </si>
  <si>
    <t>X007</t>
  </si>
  <si>
    <t>Surge: Operations and Sustainment</t>
  </si>
  <si>
    <t>X008</t>
  </si>
  <si>
    <t>Surge: Software Development (FFP)</t>
  </si>
  <si>
    <t>X009</t>
  </si>
  <si>
    <t>Surge: Software Development (LH)</t>
  </si>
  <si>
    <t>X010</t>
  </si>
  <si>
    <t>ODC</t>
  </si>
  <si>
    <t>Material SW</t>
  </si>
  <si>
    <t>Cost Reimburseable (CR)</t>
  </si>
  <si>
    <t>Material HW</t>
  </si>
  <si>
    <t>CR</t>
  </si>
  <si>
    <t>Travel</t>
  </si>
  <si>
    <t>Misc/Other</t>
  </si>
  <si>
    <t>Instructions</t>
  </si>
  <si>
    <t xml:space="preserve">Do not edit anything on this Tab.  </t>
  </si>
  <si>
    <t>Total Price for Task Order 0001</t>
  </si>
  <si>
    <t>CLIN No.</t>
  </si>
  <si>
    <t>CLIN Title</t>
  </si>
  <si>
    <t>Cost/Price</t>
  </si>
  <si>
    <t>Period of Performance</t>
  </si>
  <si>
    <t>Notes</t>
  </si>
  <si>
    <t>0001</t>
  </si>
  <si>
    <t>Base Period - Operations and Sustainment</t>
  </si>
  <si>
    <t>12 Months</t>
  </si>
  <si>
    <t>CLIN X001</t>
  </si>
  <si>
    <t>Option Year 1 - Operations and Sustainment</t>
  </si>
  <si>
    <t>Option Year 2 - Operations and Sustainment</t>
  </si>
  <si>
    <t>Option Year 3 - Operations and Sustainment</t>
  </si>
  <si>
    <t>Option Year 4 - Operations and Sustainment</t>
  </si>
  <si>
    <t>0001AF</t>
  </si>
  <si>
    <t>Transition</t>
  </si>
  <si>
    <t>0002</t>
  </si>
  <si>
    <t>Base Period - Modernization, New Capability Development, Prototypes, Engineering Assessments</t>
  </si>
  <si>
    <t>CLIN X002</t>
  </si>
  <si>
    <t>Option Year 1 - Modernization, New Capability Development, Prototypes, Engineering Assessments</t>
  </si>
  <si>
    <t>Option Year 3 - Modernization, New Capability Development, Prototypes, Engineering Assessments</t>
  </si>
  <si>
    <t>Option Year 4 - Modernization, New Capability Development, Prototypes, Engineering Assessments</t>
  </si>
  <si>
    <t>0003AA</t>
  </si>
  <si>
    <t>Base  Period - Operations &amp; Sustainment: LSeg</t>
  </si>
  <si>
    <t>CLIN X003AA</t>
  </si>
  <si>
    <t>1003AA</t>
  </si>
  <si>
    <t>Option Year 1 - Operations &amp; Sustainment: LSeg</t>
  </si>
  <si>
    <t>2003AA</t>
  </si>
  <si>
    <t>Option Year 2 - Operations &amp; Sustainment: LSeg</t>
  </si>
  <si>
    <t>3003AA</t>
  </si>
  <si>
    <t>Option Year 3 - Operations &amp; Sustainment: LSeg</t>
  </si>
  <si>
    <t>4003AA</t>
  </si>
  <si>
    <t>Option Year 4 - Operations &amp; Sustainment: LSeg</t>
  </si>
  <si>
    <t>0003AB</t>
  </si>
  <si>
    <t>Base Period - Operations &amp; Sustainment: NSeg</t>
  </si>
  <si>
    <t>CLIN X003AB</t>
  </si>
  <si>
    <t>1003AB</t>
  </si>
  <si>
    <t>Option Year 1 - Operations &amp; Sustainment: NSeg</t>
  </si>
  <si>
    <t>2003AB</t>
  </si>
  <si>
    <t>Option Year 2 - Operations &amp; Sustainment: NSeg</t>
  </si>
  <si>
    <t>3003AB</t>
  </si>
  <si>
    <t>Option Year 3 - Operations &amp; Sustainment: NSeg</t>
  </si>
  <si>
    <t>4003AB</t>
  </si>
  <si>
    <t>Option Year 4 - Operations &amp; Sustainment: NSeg</t>
  </si>
  <si>
    <t>0003AC</t>
  </si>
  <si>
    <t>Base Period - Operations &amp; Sustainment: Enterprise Testing</t>
  </si>
  <si>
    <t>CLIN X003AC</t>
  </si>
  <si>
    <t>1003AC</t>
  </si>
  <si>
    <t>Option Year 1 - Operations &amp; Sustainment: Enterprise Testing</t>
  </si>
  <si>
    <t xml:space="preserve">2003AC </t>
  </si>
  <si>
    <t>Option Year 2 - Operations &amp; Sustainment: Enterprise Testing</t>
  </si>
  <si>
    <t>3003AC</t>
  </si>
  <si>
    <t>Option Year 3 - Operations &amp; Sustainment: Enterprise Testing</t>
  </si>
  <si>
    <t>4003AC</t>
  </si>
  <si>
    <t>Option Year 4 - Operations &amp; Sustainment: Enterprise Testing</t>
  </si>
  <si>
    <t>0004</t>
  </si>
  <si>
    <t>Base Period - Lseg Sensor</t>
  </si>
  <si>
    <t>CLIN X004</t>
  </si>
  <si>
    <t>1004</t>
  </si>
  <si>
    <t>Option Year 1 - Lseg Sensor</t>
  </si>
  <si>
    <t>2004</t>
  </si>
  <si>
    <t>Option Year 2 - Lseg Sensor</t>
  </si>
  <si>
    <t>3004</t>
  </si>
  <si>
    <t>Option Year 3 - Lseg Sensor</t>
  </si>
  <si>
    <t>4004</t>
  </si>
  <si>
    <t>Option Year 4 - Lseg Sensor</t>
  </si>
  <si>
    <t>0005</t>
  </si>
  <si>
    <t>Base Period - Nseg Sensor</t>
  </si>
  <si>
    <t>CLIN X005</t>
  </si>
  <si>
    <t>1005</t>
  </si>
  <si>
    <t>Option Year 1 - Nseg Sensor</t>
  </si>
  <si>
    <t>0010AA</t>
  </si>
  <si>
    <t>Base Period ODC - Material Software</t>
  </si>
  <si>
    <t>1010AA</t>
  </si>
  <si>
    <t>Option Year 1 -  ODC - Material Software</t>
  </si>
  <si>
    <r>
      <rPr>
        <b/>
        <sz val="10"/>
        <color theme="1"/>
        <rFont val="Calibri"/>
        <family val="2"/>
        <scheme val="minor"/>
      </rPr>
      <t>CLIN X010</t>
    </r>
    <r>
      <rPr>
        <sz val="10"/>
        <color theme="1"/>
        <rFont val="Calibri"/>
        <family val="2"/>
        <scheme val="minor"/>
      </rPr>
      <t xml:space="preserve">                 Government Provided Estimates - Do Not Alter.  Estimates shall be included in the Task Order 0001 Total Price</t>
    </r>
  </si>
  <si>
    <t>2010AA</t>
  </si>
  <si>
    <t>Option Year 2 -  ODC - Material Software</t>
  </si>
  <si>
    <t>3010AA</t>
  </si>
  <si>
    <t>Option Year 3 -  ODC - Material Software</t>
  </si>
  <si>
    <t>4010AA</t>
  </si>
  <si>
    <t>Option Year 4 -  ODC - Material Software</t>
  </si>
  <si>
    <t>0010AB</t>
  </si>
  <si>
    <t>Base Period ODC - Material Hardware</t>
  </si>
  <si>
    <t>1010AB</t>
  </si>
  <si>
    <t>Option Year 1 -  ODC - Material Hardware</t>
  </si>
  <si>
    <t>2010AB</t>
  </si>
  <si>
    <t>Option Year 2 -  ODC - Material Hardware</t>
  </si>
  <si>
    <t>3010AB</t>
  </si>
  <si>
    <t>Option Year 3 -  ODC - Material Hardware</t>
  </si>
  <si>
    <t>4010AB</t>
  </si>
  <si>
    <t>Option Year 4 -  ODC - Material Hardware</t>
  </si>
  <si>
    <t>0010AC</t>
  </si>
  <si>
    <t>Base Period ODC - Travel</t>
  </si>
  <si>
    <t>1010AC</t>
  </si>
  <si>
    <t>Option Year 1 -  ODC - Travel</t>
  </si>
  <si>
    <t>2010AC</t>
  </si>
  <si>
    <t>Option Year 2 -  ODC - Travel</t>
  </si>
  <si>
    <t>3010AC</t>
  </si>
  <si>
    <t>Option Year 3 -  ODC - Travel</t>
  </si>
  <si>
    <t>4010AC</t>
  </si>
  <si>
    <t>Option Year 4 -  ODC - Travel</t>
  </si>
  <si>
    <t>0010AD</t>
  </si>
  <si>
    <t>Base Year ODC - Misc/Other</t>
  </si>
  <si>
    <t>1010AD</t>
  </si>
  <si>
    <t>Option Year 1 -  ODC - Misc/Other</t>
  </si>
  <si>
    <t>2010AD</t>
  </si>
  <si>
    <t>Option Year 2 -  ODC - Misc/Other</t>
  </si>
  <si>
    <t>3010AD</t>
  </si>
  <si>
    <t>Option Year 3 -  ODC - Misc/Other</t>
  </si>
  <si>
    <t>4010AD</t>
  </si>
  <si>
    <t>Option Year 4 -  ODC - Misc/Other</t>
  </si>
  <si>
    <t>Total Proposed Price (TPP)</t>
  </si>
  <si>
    <t>6 Months</t>
  </si>
  <si>
    <t xml:space="preserve">6 Month Option to Extend Services is calculated as 50% of the price of the Option Year 4 CLINs </t>
  </si>
  <si>
    <t>Operations &amp; Sustainment: Lseg</t>
  </si>
  <si>
    <t>Operations &amp; Sustainment: Nseg</t>
  </si>
  <si>
    <t>CLIN X010AA</t>
  </si>
  <si>
    <t>ODC - Software</t>
  </si>
  <si>
    <t>CLIN X010AB</t>
  </si>
  <si>
    <t>ODC - Hardware</t>
  </si>
  <si>
    <t>CLIN X010AC</t>
  </si>
  <si>
    <t>ODC - Travel</t>
  </si>
  <si>
    <t>CLIN X010AD</t>
  </si>
  <si>
    <t>ODC - Misc/Other</t>
  </si>
  <si>
    <t xml:space="preserve">Total Task Order 0001 Total Price with Option to Extend Services </t>
  </si>
  <si>
    <t>Program Manager*</t>
  </si>
  <si>
    <t>Chief Software Architect (CSA)*</t>
  </si>
  <si>
    <t>Information Systems Security Officer (ISSO)*</t>
  </si>
  <si>
    <t>Chief Systems Engineer (CSE)*</t>
  </si>
  <si>
    <t>Skill Level (Jr, Mid, Sr, SME)</t>
  </si>
  <si>
    <t>BP Total Hours</t>
  </si>
  <si>
    <t>OY1 Total Hours</t>
  </si>
  <si>
    <t>OY2 Total Hours</t>
  </si>
  <si>
    <t>OY3 Total Hours</t>
  </si>
  <si>
    <t>OY4 Total Hours</t>
  </si>
  <si>
    <t>CLIN X001 Total Price (Base and Option Years)</t>
  </si>
  <si>
    <t>BP Total Price</t>
  </si>
  <si>
    <t>OY1 Total Price</t>
  </si>
  <si>
    <t>OY2 Total Price</t>
  </si>
  <si>
    <t>OY3 Total Price</t>
  </si>
  <si>
    <t>OY4 Total Price</t>
  </si>
  <si>
    <t>SUBCLIN X003AA Total Price (Base and Option Years)</t>
  </si>
  <si>
    <t>CLIN X002 Total Price (Base and Option Years)</t>
  </si>
  <si>
    <t>SUBCLIN X003AB Total Price (Base and Option Years)</t>
  </si>
  <si>
    <t>SUBCLIN X003AC Total Price (Base and Option Years)</t>
  </si>
  <si>
    <t>BP - CLIN 0002</t>
  </si>
  <si>
    <t>OY1 - CLIN 1002</t>
  </si>
  <si>
    <t>OY2 - CLIN 2002</t>
  </si>
  <si>
    <t>OY3 - CLIN 3002</t>
  </si>
  <si>
    <t>OY4 - CLIN 4002</t>
  </si>
  <si>
    <t>BP Proposed Total Hours</t>
  </si>
  <si>
    <t>DO NOT ALTER - Government Provided OY1 Total Hours</t>
  </si>
  <si>
    <t>DO NOT ALTER - Government Provided BP Total Hours</t>
  </si>
  <si>
    <t>DO NOT ALTER - Government Provided OY2 Total Hours</t>
  </si>
  <si>
    <t>Offeror Proposed OY1 Total Hours</t>
  </si>
  <si>
    <t>Offeror Proposed OY2 Total Hours</t>
  </si>
  <si>
    <t>Offeror Proposed OY3 Total Hours</t>
  </si>
  <si>
    <t>DO NOT ALTER - Government Provided OY3 Total Hours</t>
  </si>
  <si>
    <t>Offeror Proposed OY4 Total Hours</t>
  </si>
  <si>
    <t>DO NOT ALTER - Government Provided OY4 Total Hours</t>
  </si>
  <si>
    <t>BP - CLIN 0004</t>
  </si>
  <si>
    <t>OY1 - CLIN 1004</t>
  </si>
  <si>
    <t>OY2 - CLIN 2004</t>
  </si>
  <si>
    <t>OY3 - CLIN 3004</t>
  </si>
  <si>
    <t>OY4 - CLIN 4004</t>
  </si>
  <si>
    <t>BP - CLIN 0005</t>
  </si>
  <si>
    <t>OY1 - CLIN 1005</t>
  </si>
  <si>
    <t>SUBCLIN</t>
  </si>
  <si>
    <t>BP - SUBCLIN 0003AB</t>
  </si>
  <si>
    <t>BP - SUBCLIN 0003AC</t>
  </si>
  <si>
    <t>OY1 - SUBCLIN 1003AC</t>
  </si>
  <si>
    <t>OY2 - SUBCLIN 2003AC</t>
  </si>
  <si>
    <t>OY3 - SUBCLIN 3003AC</t>
  </si>
  <si>
    <t>OY4 - SUBCLIN 4003AC</t>
  </si>
  <si>
    <t>OY1 - SUBCLIN 1003AB</t>
  </si>
  <si>
    <t>OY2 - SUBCLIN 2003AB</t>
  </si>
  <si>
    <t>OY3 - SUBCLIN 3003AB</t>
  </si>
  <si>
    <t>OY4 - SUBCLIN 4003AB</t>
  </si>
  <si>
    <t>BP - SUBCLIN 0003AA</t>
  </si>
  <si>
    <t>OY1 - SUBCLIN 1003AA</t>
  </si>
  <si>
    <t>OY2 - SUBCLIN 2003AA</t>
  </si>
  <si>
    <t>OY3 - SUBCLIN 3003AA</t>
  </si>
  <si>
    <t>OY4 - SUBCLIN 4003AA</t>
  </si>
  <si>
    <t>BP - SUBCLIN 0001AF</t>
  </si>
  <si>
    <t>BP - CLIN 0001</t>
  </si>
  <si>
    <t>OY1 - CLIN 1001</t>
  </si>
  <si>
    <t>OY2 - CLIN 2001</t>
  </si>
  <si>
    <t>OY3 - CLIN 3001</t>
  </si>
  <si>
    <t>OY4 - CLIN 4001</t>
  </si>
  <si>
    <t>Tab 2 - IDIQ LCAT Skill Levels and Tab 3 - IDIQ LCAT Descriptions</t>
  </si>
  <si>
    <t>Tab 14 TO1 Summary</t>
  </si>
  <si>
    <t xml:space="preserve">Provides a summary of the  Task Order 001 Proposed Price.  </t>
  </si>
  <si>
    <t>Color Key</t>
  </si>
  <si>
    <t>Do not alter these tabs.</t>
  </si>
  <si>
    <t xml:space="preserve">In this tab, Offerors shall enter proposed fully burdened labor rates (FBLRs) for each labor category, skill level, work location and work site combination requested. </t>
  </si>
  <si>
    <t>Do not alter this tab.</t>
  </si>
  <si>
    <t>Do Not Edit</t>
  </si>
  <si>
    <t>Enter Data Here</t>
  </si>
  <si>
    <t>FBLR</t>
  </si>
  <si>
    <t xml:space="preserve">Instructions:  SUBCLIN X003AC has a BP and Four OYs.  Offerors shall utilize the total hours provided for each PoP.  Offerors shall propose appropriate LCATs/Skill mix as determined by the Offeror to satisfy the Strata requirements.  Proposed hours must equal the Government provided total hours for each PoP. Insert rows as needed.  Ensure equations in the blue cells are copied down to inserted rows and summation equations are maintained. All FBLRs must tie back to the IDIQ LCAT FBLRs. </t>
  </si>
  <si>
    <t xml:space="preserve">Instructions:  CLIN X004 has a BP and Four OYs. Offerors shall utilize the total hours provided for each PoP.  Offerors shall propose appropriate LCATs/Skill mix as determined by the Offeror to satisfy the Strata requirements.  Proposed hours must equal the Government provided total hours for each PoP. Insert rows as needed.  Ensure equations in the blue cells are copied down to inserted rows and summation equations are maintained. All FBLRs must tie back to the IDIQ LCAT FBLRs. </t>
  </si>
  <si>
    <t xml:space="preserve">Instructions:  CLIN X005 is a BP and OY Only. Offerors shall utilize the total hours provided for each PoP.  Offerors shall propose appropriate LCATs/Skill mix as determined by the Offeror to satisfy the Strata requirements.  Proposed hours must equal the Government provided total hours for each PoP. Insert rows as needed.  Ensure equations in the blue cells are copied down to inserted rows and summation equations are maintained. All FBLRs must tie back to the IDIQ LCAT FBLRs.  </t>
  </si>
  <si>
    <t xml:space="preserve">Instructions:  CLIN X002 has a Base Period and Four Option Years.  Offerors shall utilize the total hours provided for each PoP.  Offerors shall propose appropriate LCATs/Skill mix as determined by the Offeror to satisfy the Strata requirements.  Proposed hours must equal the Government provided total hours for each PoP. Insert rows as needed.  Ensure equations in the blue cells are copied down to inserted rows and summation equations are maintained. All FBLRs must tie back to the IDIQ LCAT FBLRs. </t>
  </si>
  <si>
    <t xml:space="preserve">Instructions:  SUBCLIN X001AF is a BP Only.  Offerors shall propose appropriate LCATs/Skill mix as determined by the Offeror to satisfy the Strata requirements.  Insert rows as needed.  Ensure equations in the blue cells are copied down to inserted rows and summation equations are maintained. All FBLRs must tie back to the IDIQ LCAT FBLRs. </t>
  </si>
  <si>
    <t xml:space="preserve">Instructions:  SUBCLIN X003AA has a BP and Four OYs.  Offerors shall propose appropriate LCATs/Skill mix as determined by the Offeror to satisfy the Strata requirements.   Insert rows as needed.  Ensure equations in the blue cells are copied down to inserted rows and summation equations are maintained. All FBLRs must tie back to the IDIQ LCAT FBLRs. </t>
  </si>
  <si>
    <t xml:space="preserve">Instructions:  SUBCLIN X003AB has a BP and Four OYs.  Offerors shall propose appropriate LCATs/Skill mix as determined by the Offeror to satisfy the Strata requirements.   Insert rows as needed.  Ensure equations in the blue cells are copied down to inserted rows and summation equations are maintained. All FBLRs must tie back to the IDIQ LCAT FBLRs. </t>
  </si>
  <si>
    <t>Strata TO 001 CLIN Structure</t>
  </si>
  <si>
    <t>TO 001- Functional &amp; Capability Areas</t>
  </si>
  <si>
    <t>Tabs 6 thru 13 T01 CLIN Structure and Pricing</t>
  </si>
  <si>
    <t>Tab 5 - IDIQ and TO1 CLIN Structure</t>
  </si>
  <si>
    <t xml:space="preserve">The tab provides an overview of all the CLINs for the IDIQ and the CLIN Structure for Task Order 01 (TO1). </t>
  </si>
  <si>
    <t xml:space="preserve">The Offeror shall enter the labor category, skill level, work location, work site, hours and FBLR for each position proposed for each CLIN and SUBCLIN for Task Order 001.  The labor category, skill level, work location, work site and hours match the information provided in the unpriced BOE.  </t>
  </si>
  <si>
    <t>Additional Tabs can be added to this workbook as needed.  Internal equations shall be maintained to allow ease of Government evaluation.  All external links must be removed prior to submission.</t>
  </si>
  <si>
    <t>The purpose of this workbook is for Offerors to provide information required for the Government to efficiently evaluation the Offeror's proposal. Task Order 0001  of the solicitation shall utilize the proposed labor rate pricing for the labor categories included in this workbook.</t>
  </si>
  <si>
    <t xml:space="preserve">Offerors shall use the IDIQ LCAT Skill Levels and Descriptions in developing the fully burdened labor rates to be used in responses to Task Order 0001 and all future Task Orders. </t>
  </si>
  <si>
    <t xml:space="preserve">Instructions:  CLIN X001 has a Base Period (BP) and Four Option Years (OYs).  Offerors shall propose appropriate LCATs/Skill mix as determined by the Offeror to satisfy the Strata requirements. List all Labor Categories associated with CLIN X001 and all X001 sub-CLINs (except X001AF) that are not seperately priced. Insert rows as needed.  Ensure equations in the blue cells are copied down to inserted rows and summation equations are maintained. All FBLRs must tie back to the IDIQ LCAT FBLRs. </t>
  </si>
  <si>
    <t>9 Months</t>
  </si>
  <si>
    <t>3 Months</t>
  </si>
  <si>
    <t>Option Year 2 - Modernization, New Capability Development, Prototypes, Engineering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</si>
</sst>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0.0"/>
    <numFmt numFmtId="166" formatCode="&quot;$&quot;#,##0"/>
  </numFmts>
  <fonts count="29" x14ac:knownFonts="1">
    <font>
      <sz val="11"/>
      <color theme="1"/>
      <name val="Calibri"/>
      <family val="2"/>
      <scheme val="minor"/>
    </font>
    <font>
      <sz val="10"/>
      <name val="Arial"/>
      <family val="2"/>
    </font>
    <font>
      <b/>
      <sz val="10"/>
      <name val="Arial"/>
      <family val="2"/>
    </font>
    <font>
      <sz val="10"/>
      <name val="Arial"/>
      <family val="2"/>
    </font>
    <font>
      <b/>
      <sz val="10"/>
      <color theme="1"/>
      <name val="Arial"/>
      <family val="2"/>
    </font>
    <font>
      <sz val="10"/>
      <color theme="1"/>
      <name val="Arial"/>
      <family val="2"/>
    </font>
    <font>
      <sz val="11"/>
      <color theme="1"/>
      <name val="Arial"/>
      <family val="2"/>
    </font>
    <font>
      <sz val="11"/>
      <color theme="1"/>
      <name val="Calibri"/>
      <family val="2"/>
      <scheme val="minor"/>
    </font>
    <font>
      <b/>
      <sz val="11"/>
      <color theme="1"/>
      <name val="Calibri"/>
      <family val="2"/>
      <scheme val="minor"/>
    </font>
    <font>
      <b/>
      <sz val="14"/>
      <color theme="1"/>
      <name val="Calibri"/>
      <family val="2"/>
      <scheme val="minor"/>
    </font>
    <font>
      <sz val="11"/>
      <name val="Calibri"/>
      <family val="2"/>
      <scheme val="minor"/>
    </font>
    <font>
      <b/>
      <u/>
      <sz val="11"/>
      <color theme="4" tint="-0.249977111117893"/>
      <name val="Calibri"/>
      <family val="2"/>
      <scheme val="minor"/>
    </font>
    <font>
      <sz val="12"/>
      <color rgb="FFFF0000"/>
      <name val="Arial"/>
      <family val="2"/>
    </font>
    <font>
      <sz val="12"/>
      <color theme="1"/>
      <name val="Arial"/>
      <family val="2"/>
    </font>
    <font>
      <b/>
      <sz val="10"/>
      <color theme="0"/>
      <name val="Arial"/>
      <family val="2"/>
    </font>
    <font>
      <b/>
      <i/>
      <sz val="11"/>
      <color theme="1"/>
      <name val="Arial"/>
      <family val="2"/>
    </font>
    <font>
      <sz val="20"/>
      <color rgb="FFFF0000"/>
      <name val="Arial"/>
      <family val="2"/>
    </font>
    <font>
      <sz val="12"/>
      <color theme="1"/>
      <name val="Calibri"/>
      <family val="2"/>
      <scheme val="minor"/>
    </font>
    <font>
      <b/>
      <sz val="18"/>
      <color rgb="FFFF0000"/>
      <name val="Arial"/>
      <family val="2"/>
    </font>
    <font>
      <b/>
      <sz val="14"/>
      <color theme="1"/>
      <name val="Arial"/>
      <family val="2"/>
    </font>
    <font>
      <b/>
      <sz val="18"/>
      <color theme="1"/>
      <name val="Calibri"/>
      <family val="2"/>
      <scheme val="minor"/>
    </font>
    <font>
      <b/>
      <sz val="12"/>
      <color theme="1"/>
      <name val="Arial"/>
      <family val="2"/>
    </font>
    <font>
      <b/>
      <sz val="12"/>
      <name val="Arial"/>
      <family val="2"/>
    </font>
    <font>
      <b/>
      <sz val="12"/>
      <color theme="0"/>
      <name val="Arial"/>
      <family val="2"/>
    </font>
    <font>
      <b/>
      <sz val="16"/>
      <color theme="1"/>
      <name val="Calibri"/>
      <family val="2"/>
      <scheme val="minor"/>
    </font>
    <font>
      <sz val="11"/>
      <color rgb="FF000000"/>
      <name val="Calibri"/>
      <family val="2"/>
      <scheme val="minor"/>
    </font>
    <font>
      <b/>
      <sz val="10"/>
      <color theme="1"/>
      <name val="Calibri"/>
      <family val="2"/>
      <scheme val="minor"/>
    </font>
    <font>
      <sz val="10"/>
      <color theme="1"/>
      <name val="Calibri"/>
      <family val="2"/>
      <scheme val="minor"/>
    </font>
    <font>
      <b/>
      <sz val="14"/>
      <color rgb="FF000000"/>
      <name val="Calibri"/>
      <family val="2"/>
      <scheme val="minor"/>
    </font>
  </fonts>
  <fills count="14">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4" tint="0.79998168889431442"/>
        <bgColor indexed="64"/>
      </patternFill>
    </fill>
    <fill>
      <patternFill patternType="solid">
        <fgColor theme="0" tint="-0.34998626667073579"/>
        <bgColor indexed="64"/>
      </patternFill>
    </fill>
  </fills>
  <borders count="5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bottom/>
      <diagonal/>
    </border>
  </borders>
  <cellStyleXfs count="5">
    <xf numFmtId="0" fontId="0" fillId="0" borderId="0"/>
    <xf numFmtId="0" fontId="1" fillId="0" borderId="0"/>
    <xf numFmtId="44" fontId="1"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cellStyleXfs>
  <cellXfs count="263">
    <xf numFmtId="0" fontId="0" fillId="0" borderId="0" xfId="0"/>
    <xf numFmtId="0" fontId="1" fillId="0" borderId="0" xfId="1"/>
    <xf numFmtId="0" fontId="5" fillId="5" borderId="2" xfId="1" applyFont="1" applyFill="1" applyBorder="1" applyAlignment="1">
      <alignment wrapText="1"/>
    </xf>
    <xf numFmtId="0" fontId="1" fillId="6" borderId="2" xfId="1" applyFill="1" applyBorder="1"/>
    <xf numFmtId="0" fontId="1" fillId="6" borderId="0" xfId="1" applyFill="1" applyBorder="1"/>
    <xf numFmtId="0" fontId="1" fillId="6" borderId="0" xfId="1" applyFill="1"/>
    <xf numFmtId="0" fontId="2" fillId="4" borderId="2" xfId="1" applyFont="1" applyFill="1" applyBorder="1" applyAlignment="1">
      <alignment horizontal="center" vertical="center" wrapText="1"/>
    </xf>
    <xf numFmtId="0" fontId="1" fillId="0" borderId="0" xfId="1" applyFill="1" applyBorder="1" applyAlignment="1">
      <alignment horizontal="center"/>
    </xf>
    <xf numFmtId="0" fontId="1" fillId="7" borderId="2" xfId="1" applyFill="1" applyBorder="1"/>
    <xf numFmtId="0" fontId="1" fillId="5" borderId="0" xfId="1" applyFill="1" applyAlignment="1"/>
    <xf numFmtId="0" fontId="1" fillId="5" borderId="0" xfId="1" applyFill="1" applyAlignment="1">
      <alignment horizontal="right"/>
    </xf>
    <xf numFmtId="0" fontId="1" fillId="7" borderId="0" xfId="1" applyFill="1"/>
    <xf numFmtId="0" fontId="4" fillId="5" borderId="2" xfId="1" applyFont="1" applyFill="1" applyBorder="1"/>
    <xf numFmtId="0" fontId="2" fillId="7" borderId="1" xfId="1" applyFont="1" applyFill="1" applyBorder="1" applyAlignment="1">
      <alignment vertical="center" wrapText="1"/>
    </xf>
    <xf numFmtId="0" fontId="2" fillId="7" borderId="1" xfId="1" applyFont="1" applyFill="1" applyBorder="1" applyAlignment="1">
      <alignment horizontal="center" vertical="center" wrapText="1"/>
    </xf>
    <xf numFmtId="164" fontId="1" fillId="5" borderId="2" xfId="1" applyNumberFormat="1" applyFill="1" applyBorder="1" applyAlignment="1">
      <alignment horizontal="right" indent="1"/>
    </xf>
    <xf numFmtId="164" fontId="2" fillId="5" borderId="2" xfId="1" applyNumberFormat="1" applyFont="1" applyFill="1" applyBorder="1" applyAlignment="1">
      <alignment horizontal="right" indent="1"/>
    </xf>
    <xf numFmtId="164" fontId="1" fillId="7" borderId="2" xfId="1" applyNumberFormat="1" applyFill="1" applyBorder="1" applyAlignment="1">
      <alignment horizontal="right" indent="1"/>
    </xf>
    <xf numFmtId="0" fontId="1" fillId="2" borderId="0" xfId="1" applyFont="1" applyFill="1" applyBorder="1" applyAlignment="1">
      <alignment horizontal="center"/>
    </xf>
    <xf numFmtId="164" fontId="1" fillId="5" borderId="0" xfId="1" applyNumberFormat="1" applyFill="1"/>
    <xf numFmtId="0" fontId="8" fillId="3" borderId="0" xfId="0" applyFont="1" applyFill="1" applyAlignment="1">
      <alignment horizontal="center" wrapText="1"/>
    </xf>
    <xf numFmtId="0" fontId="9"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0" fillId="0" borderId="0" xfId="0" applyAlignment="1">
      <alignment vertical="center" wrapText="1"/>
    </xf>
    <xf numFmtId="0" fontId="6" fillId="3" borderId="0" xfId="0" applyFont="1" applyFill="1"/>
    <xf numFmtId="0" fontId="6" fillId="0" borderId="0" xfId="0" applyFont="1"/>
    <xf numFmtId="0" fontId="14" fillId="9" borderId="10" xfId="0" applyFont="1" applyFill="1" applyBorder="1" applyAlignment="1" applyProtection="1">
      <alignment horizontal="center" vertical="center" wrapText="1"/>
    </xf>
    <xf numFmtId="0" fontId="14" fillId="9" borderId="10" xfId="0" applyFont="1" applyFill="1" applyBorder="1" applyAlignment="1" applyProtection="1">
      <alignment horizontal="center" vertical="center"/>
    </xf>
    <xf numFmtId="0" fontId="14" fillId="9" borderId="11" xfId="0" applyFont="1" applyFill="1" applyBorder="1" applyAlignment="1" applyProtection="1">
      <alignment horizontal="center" vertical="center" wrapText="1"/>
    </xf>
    <xf numFmtId="0" fontId="14" fillId="9" borderId="12" xfId="0" applyFont="1" applyFill="1" applyBorder="1" applyAlignment="1" applyProtection="1">
      <alignment horizontal="center" vertical="center" wrapText="1"/>
    </xf>
    <xf numFmtId="0" fontId="4" fillId="0" borderId="11" xfId="0" quotePrefix="1" applyNumberFormat="1" applyFont="1" applyBorder="1" applyAlignment="1">
      <alignment horizontal="center" vertical="top" wrapText="1"/>
    </xf>
    <xf numFmtId="0" fontId="5" fillId="0" borderId="11" xfId="0" quotePrefix="1" applyNumberFormat="1" applyFont="1" applyBorder="1" applyAlignment="1">
      <alignment horizontal="left" vertical="top" wrapText="1"/>
    </xf>
    <xf numFmtId="0" fontId="5" fillId="0" borderId="11" xfId="4" applyNumberFormat="1" applyFont="1" applyFill="1" applyBorder="1" applyAlignment="1" applyProtection="1">
      <alignment horizontal="left" vertical="top" wrapText="1"/>
    </xf>
    <xf numFmtId="0" fontId="6" fillId="0" borderId="0" xfId="0" applyFont="1" applyAlignment="1">
      <alignment vertical="top"/>
    </xf>
    <xf numFmtId="0" fontId="4" fillId="0" borderId="10" xfId="0" quotePrefix="1" applyNumberFormat="1" applyFont="1" applyBorder="1" applyAlignment="1">
      <alignment horizontal="center" vertical="top" wrapText="1"/>
    </xf>
    <xf numFmtId="0" fontId="5" fillId="0" borderId="10" xfId="0" quotePrefix="1" applyNumberFormat="1" applyFont="1" applyBorder="1" applyAlignment="1">
      <alignment horizontal="left" vertical="top" wrapText="1"/>
    </xf>
    <xf numFmtId="0" fontId="5" fillId="0" borderId="10" xfId="4" applyNumberFormat="1" applyFont="1" applyFill="1" applyBorder="1" applyAlignment="1" applyProtection="1">
      <alignment horizontal="left" vertical="top" wrapText="1"/>
    </xf>
    <xf numFmtId="0" fontId="4" fillId="0" borderId="13" xfId="0" quotePrefix="1" applyNumberFormat="1" applyFont="1" applyBorder="1" applyAlignment="1">
      <alignment horizontal="center" vertical="top" wrapText="1"/>
    </xf>
    <xf numFmtId="0" fontId="5" fillId="0" borderId="13" xfId="0" quotePrefix="1" applyNumberFormat="1" applyFont="1" applyBorder="1" applyAlignment="1">
      <alignment horizontal="left" vertical="top" wrapText="1"/>
    </xf>
    <xf numFmtId="0" fontId="5" fillId="0" borderId="13" xfId="4" applyNumberFormat="1" applyFont="1" applyFill="1" applyBorder="1" applyAlignment="1" applyProtection="1">
      <alignment horizontal="left" vertical="top" wrapText="1"/>
    </xf>
    <xf numFmtId="0" fontId="6" fillId="0" borderId="10" xfId="0" applyFont="1" applyBorder="1" applyAlignment="1">
      <alignment vertical="top"/>
    </xf>
    <xf numFmtId="0" fontId="6" fillId="0" borderId="13" xfId="0" applyFont="1" applyBorder="1" applyAlignment="1">
      <alignment vertical="top"/>
    </xf>
    <xf numFmtId="0" fontId="5" fillId="0" borderId="10" xfId="4" applyNumberFormat="1" applyFont="1" applyFill="1" applyBorder="1" applyAlignment="1" applyProtection="1">
      <alignment horizontal="left" vertical="top"/>
    </xf>
    <xf numFmtId="0" fontId="5" fillId="0" borderId="10" xfId="0" applyNumberFormat="1" applyFont="1" applyFill="1" applyBorder="1" applyAlignment="1">
      <alignment horizontal="left" vertical="top" wrapText="1"/>
    </xf>
    <xf numFmtId="0" fontId="5" fillId="0" borderId="10" xfId="0" applyFont="1" applyFill="1" applyBorder="1" applyAlignment="1">
      <alignment vertical="top" wrapText="1"/>
    </xf>
    <xf numFmtId="0" fontId="5" fillId="0" borderId="13" xfId="0" applyFont="1" applyFill="1" applyBorder="1" applyAlignment="1">
      <alignment vertical="top" wrapText="1"/>
    </xf>
    <xf numFmtId="0" fontId="5" fillId="0" borderId="13" xfId="4" applyNumberFormat="1" applyFont="1" applyFill="1" applyBorder="1" applyAlignment="1" applyProtection="1">
      <alignment horizontal="left" vertical="top"/>
    </xf>
    <xf numFmtId="0" fontId="15" fillId="0" borderId="0" xfId="0" applyFont="1"/>
    <xf numFmtId="0" fontId="15" fillId="0" borderId="0" xfId="0" applyFont="1" applyAlignment="1"/>
    <xf numFmtId="0" fontId="5" fillId="0" borderId="0" xfId="0" quotePrefix="1" applyNumberFormat="1" applyFont="1" applyBorder="1" applyAlignment="1">
      <alignment horizontal="left" vertical="top" wrapText="1"/>
    </xf>
    <xf numFmtId="0" fontId="17" fillId="3" borderId="0" xfId="0" applyFont="1" applyFill="1" applyBorder="1" applyAlignment="1">
      <alignment vertical="center"/>
    </xf>
    <xf numFmtId="0" fontId="8" fillId="4" borderId="14" xfId="0" applyFont="1" applyFill="1" applyBorder="1" applyAlignment="1">
      <alignment vertical="center"/>
    </xf>
    <xf numFmtId="10" fontId="0" fillId="7" borderId="20" xfId="0" applyNumberFormat="1" applyFill="1" applyBorder="1" applyAlignment="1">
      <alignment horizontal="center" vertical="center"/>
    </xf>
    <xf numFmtId="10" fontId="0" fillId="7" borderId="21" xfId="0" applyNumberFormat="1" applyFill="1" applyBorder="1" applyAlignment="1">
      <alignment horizontal="center" vertical="center"/>
    </xf>
    <xf numFmtId="0" fontId="19" fillId="4" borderId="30" xfId="0" applyFont="1" applyFill="1" applyBorder="1" applyAlignment="1">
      <alignment horizontal="center" vertical="center" wrapText="1"/>
    </xf>
    <xf numFmtId="0" fontId="19" fillId="4" borderId="18"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0" fillId="8" borderId="33" xfId="0" applyFont="1" applyFill="1" applyBorder="1" applyAlignment="1">
      <alignment horizontal="left" vertical="center" wrapText="1"/>
    </xf>
    <xf numFmtId="164" fontId="7" fillId="7" borderId="14" xfId="4" applyNumberFormat="1" applyFont="1" applyFill="1" applyBorder="1" applyAlignment="1">
      <alignment horizontal="right" vertical="center" indent="1"/>
    </xf>
    <xf numFmtId="164" fontId="7" fillId="8" borderId="20" xfId="4" applyNumberFormat="1" applyFont="1" applyFill="1" applyBorder="1" applyAlignment="1">
      <alignment horizontal="right" vertical="center" indent="1"/>
    </xf>
    <xf numFmtId="164" fontId="7" fillId="8" borderId="15" xfId="4" applyNumberFormat="1" applyFont="1" applyFill="1" applyBorder="1" applyAlignment="1">
      <alignment horizontal="right" vertical="center" indent="1"/>
    </xf>
    <xf numFmtId="164" fontId="7" fillId="8" borderId="34" xfId="4" applyNumberFormat="1" applyFont="1" applyFill="1" applyBorder="1" applyAlignment="1">
      <alignment horizontal="right" vertical="center" indent="1"/>
    </xf>
    <xf numFmtId="0" fontId="10" fillId="8" borderId="23" xfId="0" applyFont="1" applyFill="1" applyBorder="1" applyAlignment="1">
      <alignment horizontal="left" vertical="center" wrapText="1"/>
    </xf>
    <xf numFmtId="164" fontId="7" fillId="7" borderId="35" xfId="4" applyNumberFormat="1" applyFont="1" applyFill="1" applyBorder="1" applyAlignment="1">
      <alignment horizontal="right" vertical="center" indent="1"/>
    </xf>
    <xf numFmtId="164" fontId="7" fillId="8" borderId="2" xfId="4" applyNumberFormat="1" applyFont="1" applyFill="1" applyBorder="1" applyAlignment="1">
      <alignment horizontal="right" vertical="center" indent="1"/>
    </xf>
    <xf numFmtId="164" fontId="7" fillId="8" borderId="17" xfId="4" applyNumberFormat="1" applyFont="1" applyFill="1" applyBorder="1" applyAlignment="1">
      <alignment horizontal="right" vertical="center" indent="1"/>
    </xf>
    <xf numFmtId="164" fontId="7" fillId="7" borderId="16" xfId="4" applyNumberFormat="1" applyFont="1" applyFill="1" applyBorder="1" applyAlignment="1">
      <alignment horizontal="right" vertical="center" indent="1"/>
    </xf>
    <xf numFmtId="164" fontId="7" fillId="8" borderId="36" xfId="4" applyNumberFormat="1" applyFont="1" applyFill="1" applyBorder="1" applyAlignment="1">
      <alignment horizontal="right" vertical="center" indent="1"/>
    </xf>
    <xf numFmtId="0" fontId="10" fillId="8" borderId="10" xfId="0" applyFont="1" applyFill="1" applyBorder="1" applyAlignment="1">
      <alignment horizontal="left" vertical="center" wrapText="1"/>
    </xf>
    <xf numFmtId="164" fontId="7" fillId="7" borderId="37" xfId="4" applyNumberFormat="1" applyFont="1" applyFill="1" applyBorder="1" applyAlignment="1">
      <alignment horizontal="right" vertical="center" indent="1"/>
    </xf>
    <xf numFmtId="164" fontId="7" fillId="8" borderId="31" xfId="4" applyNumberFormat="1" applyFont="1" applyFill="1" applyBorder="1" applyAlignment="1">
      <alignment horizontal="right" vertical="center" indent="1"/>
    </xf>
    <xf numFmtId="164" fontId="7" fillId="8" borderId="19" xfId="4" applyNumberFormat="1" applyFont="1" applyFill="1" applyBorder="1" applyAlignment="1">
      <alignment horizontal="right" vertical="center" indent="1"/>
    </xf>
    <xf numFmtId="164" fontId="7" fillId="7" borderId="18" xfId="4" applyNumberFormat="1" applyFont="1" applyFill="1" applyBorder="1" applyAlignment="1">
      <alignment horizontal="right" vertical="center" indent="1"/>
    </xf>
    <xf numFmtId="164" fontId="7" fillId="8" borderId="38" xfId="4" applyNumberFormat="1" applyFont="1" applyFill="1" applyBorder="1" applyAlignment="1">
      <alignment horizontal="right" vertical="center" indent="1"/>
    </xf>
    <xf numFmtId="0" fontId="10" fillId="8" borderId="39" xfId="0" applyFont="1" applyFill="1" applyBorder="1" applyAlignment="1">
      <alignment horizontal="left" vertical="center" wrapText="1"/>
    </xf>
    <xf numFmtId="164" fontId="7" fillId="7" borderId="1" xfId="4" applyNumberFormat="1" applyFont="1" applyFill="1" applyBorder="1" applyAlignment="1">
      <alignment horizontal="right" vertical="center" indent="1"/>
    </xf>
    <xf numFmtId="164" fontId="7" fillId="8" borderId="1" xfId="4" applyNumberFormat="1" applyFont="1" applyFill="1" applyBorder="1" applyAlignment="1">
      <alignment horizontal="right" vertical="center" indent="1"/>
    </xf>
    <xf numFmtId="0" fontId="10" fillId="8" borderId="40" xfId="0" applyFont="1" applyFill="1" applyBorder="1" applyAlignment="1">
      <alignment horizontal="left" vertical="center" wrapText="1"/>
    </xf>
    <xf numFmtId="0" fontId="10" fillId="8" borderId="30" xfId="0" applyFont="1" applyFill="1" applyBorder="1" applyAlignment="1">
      <alignment horizontal="left" vertical="center" wrapText="1"/>
    </xf>
    <xf numFmtId="164" fontId="7" fillId="7" borderId="41" xfId="4" applyNumberFormat="1" applyFont="1" applyFill="1" applyBorder="1" applyAlignment="1">
      <alignment horizontal="right" vertical="center" indent="1"/>
    </xf>
    <xf numFmtId="164" fontId="7" fillId="8" borderId="42" xfId="4" applyNumberFormat="1" applyFont="1" applyFill="1" applyBorder="1" applyAlignment="1">
      <alignment horizontal="right" vertical="center" indent="1"/>
    </xf>
    <xf numFmtId="0" fontId="10" fillId="8" borderId="43" xfId="0" applyFont="1" applyFill="1" applyBorder="1" applyAlignment="1">
      <alignment horizontal="left" vertical="center" wrapText="1"/>
    </xf>
    <xf numFmtId="0" fontId="10" fillId="8" borderId="39" xfId="0" applyFont="1" applyFill="1" applyBorder="1" applyAlignment="1">
      <alignment horizontal="left" vertical="top" wrapText="1"/>
    </xf>
    <xf numFmtId="0" fontId="10" fillId="8" borderId="1" xfId="0" applyFont="1" applyFill="1" applyBorder="1" applyAlignment="1">
      <alignment horizontal="left" vertical="center" wrapText="1"/>
    </xf>
    <xf numFmtId="164" fontId="7" fillId="7" borderId="44" xfId="4" applyNumberFormat="1" applyFont="1" applyFill="1" applyBorder="1" applyAlignment="1">
      <alignment horizontal="right" vertical="center" indent="1"/>
    </xf>
    <xf numFmtId="0" fontId="10" fillId="8" borderId="2" xfId="0" applyFont="1" applyFill="1" applyBorder="1" applyAlignment="1">
      <alignment horizontal="left" vertical="center" wrapText="1"/>
    </xf>
    <xf numFmtId="0" fontId="10" fillId="8" borderId="42" xfId="0" applyFont="1" applyFill="1" applyBorder="1" applyAlignment="1">
      <alignment horizontal="left" vertical="center" wrapText="1"/>
    </xf>
    <xf numFmtId="164" fontId="7" fillId="7" borderId="45" xfId="4" applyNumberFormat="1" applyFont="1" applyFill="1" applyBorder="1" applyAlignment="1">
      <alignment horizontal="right" vertical="center" indent="1"/>
    </xf>
    <xf numFmtId="0" fontId="0" fillId="4" borderId="46" xfId="0" applyFill="1" applyBorder="1" applyAlignment="1">
      <alignment horizontal="center" vertical="center"/>
    </xf>
    <xf numFmtId="0" fontId="0" fillId="4" borderId="47" xfId="0" applyFill="1" applyBorder="1" applyAlignment="1">
      <alignment horizontal="center" vertical="center"/>
    </xf>
    <xf numFmtId="0" fontId="20" fillId="4" borderId="47" xfId="0" applyFont="1" applyFill="1" applyBorder="1" applyAlignment="1">
      <alignment horizontal="center"/>
    </xf>
    <xf numFmtId="0" fontId="0" fillId="4" borderId="47" xfId="0" applyFill="1" applyBorder="1" applyAlignment="1">
      <alignment horizontal="center"/>
    </xf>
    <xf numFmtId="0" fontId="0" fillId="4" borderId="48" xfId="0" applyFill="1" applyBorder="1"/>
    <xf numFmtId="49" fontId="21" fillId="4" borderId="49" xfId="0" applyNumberFormat="1" applyFont="1" applyFill="1" applyBorder="1" applyAlignment="1">
      <alignment horizontal="center" vertical="center"/>
    </xf>
    <xf numFmtId="0" fontId="21" fillId="4" borderId="50" xfId="0" applyFont="1" applyFill="1" applyBorder="1" applyAlignment="1">
      <alignment horizontal="center" vertical="center" wrapText="1"/>
    </xf>
    <xf numFmtId="0" fontId="21" fillId="4" borderId="51" xfId="0" applyFont="1" applyFill="1" applyBorder="1" applyAlignment="1">
      <alignment horizontal="center" vertical="center" wrapText="1"/>
    </xf>
    <xf numFmtId="49" fontId="22" fillId="12" borderId="14" xfId="0" applyNumberFormat="1" applyFont="1" applyFill="1" applyBorder="1" applyAlignment="1">
      <alignment horizontal="center" vertical="center"/>
    </xf>
    <xf numFmtId="0" fontId="23" fillId="12" borderId="20" xfId="0" applyFont="1" applyFill="1" applyBorder="1" applyAlignment="1">
      <alignment horizontal="center" vertical="center"/>
    </xf>
    <xf numFmtId="0" fontId="21" fillId="12" borderId="20" xfId="0" applyFont="1" applyFill="1" applyBorder="1" applyAlignment="1">
      <alignment horizontal="left" vertical="center" wrapText="1" indent="1"/>
    </xf>
    <xf numFmtId="0" fontId="21" fillId="12" borderId="20" xfId="0" applyFont="1" applyFill="1" applyBorder="1" applyAlignment="1">
      <alignment horizontal="center" vertical="center" wrapText="1"/>
    </xf>
    <xf numFmtId="0" fontId="21" fillId="12" borderId="15" xfId="0" applyFont="1" applyFill="1" applyBorder="1" applyAlignment="1">
      <alignment horizontal="center" vertical="center" wrapText="1"/>
    </xf>
    <xf numFmtId="49" fontId="13" fillId="12" borderId="16" xfId="0" quotePrefix="1" applyNumberFormat="1" applyFont="1" applyFill="1" applyBorder="1" applyAlignment="1">
      <alignment horizontal="center" vertical="center"/>
    </xf>
    <xf numFmtId="0" fontId="21" fillId="12" borderId="2" xfId="0" applyFont="1" applyFill="1" applyBorder="1" applyAlignment="1">
      <alignment horizontal="center" vertical="center"/>
    </xf>
    <xf numFmtId="0" fontId="13" fillId="12" borderId="2" xfId="0" applyFont="1" applyFill="1" applyBorder="1" applyAlignment="1">
      <alignment horizontal="left" vertical="center" wrapText="1" indent="1"/>
    </xf>
    <xf numFmtId="0" fontId="13" fillId="12" borderId="2" xfId="0" applyFont="1" applyFill="1" applyBorder="1" applyAlignment="1">
      <alignment horizontal="center" vertical="center" wrapText="1"/>
    </xf>
    <xf numFmtId="0" fontId="13" fillId="12" borderId="17" xfId="0" applyFont="1" applyFill="1" applyBorder="1" applyAlignment="1">
      <alignment horizontal="center" vertical="center"/>
    </xf>
    <xf numFmtId="0" fontId="13" fillId="12" borderId="2" xfId="0" applyFont="1" applyFill="1" applyBorder="1" applyAlignment="1">
      <alignment horizontal="center" vertical="center"/>
    </xf>
    <xf numFmtId="49" fontId="13" fillId="12" borderId="18" xfId="0" quotePrefix="1" applyNumberFormat="1" applyFont="1" applyFill="1" applyBorder="1" applyAlignment="1">
      <alignment horizontal="center" vertical="center"/>
    </xf>
    <xf numFmtId="0" fontId="21" fillId="12" borderId="31" xfId="0" applyFont="1" applyFill="1" applyBorder="1" applyAlignment="1">
      <alignment horizontal="center" vertical="center"/>
    </xf>
    <xf numFmtId="0" fontId="13" fillId="12" borderId="31" xfId="0" applyFont="1" applyFill="1" applyBorder="1" applyAlignment="1">
      <alignment horizontal="left" vertical="center" wrapText="1" indent="1"/>
    </xf>
    <xf numFmtId="0" fontId="13" fillId="12" borderId="31" xfId="0" applyFont="1" applyFill="1" applyBorder="1" applyAlignment="1">
      <alignment horizontal="center" vertical="center"/>
    </xf>
    <xf numFmtId="0" fontId="13" fillId="12" borderId="19" xfId="0" applyFont="1" applyFill="1" applyBorder="1" applyAlignment="1">
      <alignment horizontal="center" vertical="center"/>
    </xf>
    <xf numFmtId="49" fontId="21" fillId="12" borderId="49" xfId="0" quotePrefix="1" applyNumberFormat="1" applyFont="1" applyFill="1" applyBorder="1" applyAlignment="1">
      <alignment horizontal="center" vertical="center"/>
    </xf>
    <xf numFmtId="0" fontId="21" fillId="12" borderId="50" xfId="0" quotePrefix="1" applyFont="1" applyFill="1" applyBorder="1" applyAlignment="1">
      <alignment horizontal="center" vertical="center"/>
    </xf>
    <xf numFmtId="0" fontId="21" fillId="12" borderId="50" xfId="0" applyFont="1" applyFill="1" applyBorder="1" applyAlignment="1">
      <alignment horizontal="left" vertical="center" wrapText="1" indent="1"/>
    </xf>
    <xf numFmtId="0" fontId="21" fillId="12" borderId="50" xfId="0" applyFont="1" applyFill="1" applyBorder="1" applyAlignment="1">
      <alignment horizontal="center" vertical="center" wrapText="1"/>
    </xf>
    <xf numFmtId="0" fontId="21" fillId="12" borderId="51" xfId="0" applyFont="1" applyFill="1" applyBorder="1" applyAlignment="1">
      <alignment horizontal="center" vertical="center" wrapText="1"/>
    </xf>
    <xf numFmtId="49" fontId="21" fillId="12" borderId="14" xfId="0" quotePrefix="1" applyNumberFormat="1" applyFont="1" applyFill="1" applyBorder="1" applyAlignment="1">
      <alignment horizontal="center" vertical="center"/>
    </xf>
    <xf numFmtId="0" fontId="21" fillId="12" borderId="20" xfId="0" quotePrefix="1" applyFont="1" applyFill="1" applyBorder="1" applyAlignment="1">
      <alignment horizontal="center" vertical="center"/>
    </xf>
    <xf numFmtId="0" fontId="21" fillId="12" borderId="20" xfId="0" applyFont="1" applyFill="1" applyBorder="1" applyAlignment="1">
      <alignment horizontal="center" vertical="center"/>
    </xf>
    <xf numFmtId="0" fontId="21" fillId="12" borderId="15" xfId="0" applyFont="1" applyFill="1" applyBorder="1" applyAlignment="1">
      <alignment horizontal="center" vertical="center"/>
    </xf>
    <xf numFmtId="0" fontId="13" fillId="12" borderId="17" xfId="0" applyFont="1" applyFill="1" applyBorder="1" applyAlignment="1">
      <alignment horizontal="center" vertical="center" wrapText="1"/>
    </xf>
    <xf numFmtId="0" fontId="13" fillId="12" borderId="31" xfId="0" applyFont="1" applyFill="1" applyBorder="1" applyAlignment="1">
      <alignment horizontal="center" vertical="center" wrapText="1"/>
    </xf>
    <xf numFmtId="0" fontId="13" fillId="12" borderId="19" xfId="0" applyFont="1" applyFill="1" applyBorder="1" applyAlignment="1">
      <alignment horizontal="center" vertical="center" wrapText="1"/>
    </xf>
    <xf numFmtId="49" fontId="21" fillId="12" borderId="52" xfId="0" quotePrefix="1" applyNumberFormat="1" applyFont="1" applyFill="1" applyBorder="1" applyAlignment="1">
      <alignment horizontal="center" vertical="center"/>
    </xf>
    <xf numFmtId="0" fontId="21" fillId="12" borderId="53" xfId="0" quotePrefix="1" applyFont="1" applyFill="1" applyBorder="1" applyAlignment="1">
      <alignment horizontal="center" vertical="center"/>
    </xf>
    <xf numFmtId="0" fontId="21" fillId="12" borderId="53" xfId="0" applyFont="1" applyFill="1" applyBorder="1" applyAlignment="1">
      <alignment horizontal="left" vertical="center" wrapText="1" indent="1"/>
    </xf>
    <xf numFmtId="0" fontId="21" fillId="12" borderId="53" xfId="0" applyFont="1" applyFill="1" applyBorder="1" applyAlignment="1">
      <alignment horizontal="center" vertical="center"/>
    </xf>
    <xf numFmtId="0" fontId="21" fillId="12" borderId="54" xfId="0" applyFont="1" applyFill="1" applyBorder="1" applyAlignment="1">
      <alignment horizontal="center" vertical="center"/>
    </xf>
    <xf numFmtId="0" fontId="21" fillId="12" borderId="50" xfId="0" applyFont="1" applyFill="1" applyBorder="1" applyAlignment="1">
      <alignment horizontal="center" vertical="center"/>
    </xf>
    <xf numFmtId="0" fontId="21" fillId="12" borderId="51" xfId="0" applyFont="1" applyFill="1" applyBorder="1" applyAlignment="1">
      <alignment horizontal="center" vertical="center"/>
    </xf>
    <xf numFmtId="49" fontId="21" fillId="12" borderId="37" xfId="0" quotePrefix="1" applyNumberFormat="1" applyFont="1" applyFill="1" applyBorder="1" applyAlignment="1">
      <alignment horizontal="center" vertical="center"/>
    </xf>
    <xf numFmtId="0" fontId="21" fillId="12" borderId="55" xfId="0" quotePrefix="1" applyFont="1" applyFill="1" applyBorder="1" applyAlignment="1">
      <alignment horizontal="center" vertical="center"/>
    </xf>
    <xf numFmtId="0" fontId="21" fillId="12" borderId="55" xfId="0" applyFont="1" applyFill="1" applyBorder="1" applyAlignment="1">
      <alignment horizontal="left" vertical="center" wrapText="1" indent="1"/>
    </xf>
    <xf numFmtId="0" fontId="21" fillId="12" borderId="55" xfId="0" applyFont="1" applyFill="1" applyBorder="1" applyAlignment="1">
      <alignment horizontal="center" vertical="center"/>
    </xf>
    <xf numFmtId="0" fontId="21" fillId="12" borderId="56" xfId="0" applyFont="1" applyFill="1" applyBorder="1" applyAlignment="1">
      <alignment horizontal="center" vertical="center"/>
    </xf>
    <xf numFmtId="0" fontId="0" fillId="0" borderId="0" xfId="0" applyAlignment="1">
      <alignment horizontal="center" vertical="center"/>
    </xf>
    <xf numFmtId="0" fontId="8" fillId="3" borderId="2" xfId="0" applyFont="1" applyFill="1" applyBorder="1" applyAlignment="1">
      <alignment horizontal="left" vertical="center"/>
    </xf>
    <xf numFmtId="0" fontId="0" fillId="0" borderId="0" xfId="0" applyAlignment="1">
      <alignment horizontal="left"/>
    </xf>
    <xf numFmtId="0" fontId="0" fillId="3" borderId="2" xfId="0" applyFill="1" applyBorder="1" applyAlignment="1">
      <alignment vertical="center"/>
    </xf>
    <xf numFmtId="0" fontId="8" fillId="4" borderId="46"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11" xfId="0" applyFont="1" applyFill="1" applyBorder="1" applyAlignment="1">
      <alignment horizontal="center" vertical="center"/>
    </xf>
    <xf numFmtId="49" fontId="25" fillId="13" borderId="12" xfId="0" applyNumberFormat="1" applyFont="1" applyFill="1" applyBorder="1" applyAlignment="1">
      <alignment horizontal="center" vertical="center"/>
    </xf>
    <xf numFmtId="0" fontId="0" fillId="0" borderId="7" xfId="0" applyFont="1" applyBorder="1" applyAlignment="1">
      <alignment vertical="center"/>
    </xf>
    <xf numFmtId="0" fontId="0" fillId="0" borderId="6" xfId="0" applyFont="1" applyBorder="1" applyAlignment="1">
      <alignment vertical="center"/>
    </xf>
    <xf numFmtId="49" fontId="25" fillId="5" borderId="13" xfId="0" applyNumberFormat="1" applyFont="1" applyFill="1" applyBorder="1" applyAlignment="1">
      <alignment horizontal="center" vertical="center"/>
    </xf>
    <xf numFmtId="0" fontId="25" fillId="5" borderId="4" xfId="0" applyFont="1" applyFill="1" applyBorder="1" applyAlignment="1">
      <alignment vertical="center" wrapText="1"/>
    </xf>
    <xf numFmtId="164" fontId="0" fillId="5" borderId="46" xfId="0" applyNumberFormat="1" applyFont="1" applyFill="1" applyBorder="1" applyAlignment="1">
      <alignment horizontal="right" vertical="center" wrapText="1" indent="1"/>
    </xf>
    <xf numFmtId="164" fontId="0" fillId="5" borderId="12" xfId="0" applyNumberFormat="1" applyFont="1" applyFill="1" applyBorder="1" applyAlignment="1">
      <alignment horizontal="right" vertical="center" wrapText="1" indent="1"/>
    </xf>
    <xf numFmtId="49" fontId="25" fillId="5" borderId="10" xfId="0" applyNumberFormat="1" applyFont="1" applyFill="1" applyBorder="1" applyAlignment="1">
      <alignment horizontal="center" vertical="center"/>
    </xf>
    <xf numFmtId="0" fontId="25" fillId="5" borderId="0" xfId="0" applyFont="1" applyFill="1" applyBorder="1" applyAlignment="1">
      <alignment vertical="center" wrapText="1"/>
    </xf>
    <xf numFmtId="164" fontId="0" fillId="5" borderId="5" xfId="0" applyNumberFormat="1" applyFont="1" applyFill="1" applyBorder="1" applyAlignment="1">
      <alignment horizontal="right" vertical="center" wrapText="1" indent="1"/>
    </xf>
    <xf numFmtId="49" fontId="25" fillId="5" borderId="12" xfId="0" applyNumberFormat="1" applyFont="1" applyFill="1" applyBorder="1" applyAlignment="1">
      <alignment horizontal="center" vertical="center"/>
    </xf>
    <xf numFmtId="0" fontId="25" fillId="5" borderId="48" xfId="0" applyFont="1" applyFill="1" applyBorder="1" applyAlignment="1">
      <alignment vertical="center" wrapText="1"/>
    </xf>
    <xf numFmtId="164" fontId="0" fillId="5" borderId="8" xfId="0" applyNumberFormat="1" applyFont="1" applyFill="1" applyBorder="1" applyAlignment="1">
      <alignment horizontal="right" vertical="center" wrapText="1" indent="1"/>
    </xf>
    <xf numFmtId="0" fontId="28" fillId="5" borderId="47" xfId="0" applyFont="1" applyFill="1" applyBorder="1" applyAlignment="1">
      <alignment vertical="center" wrapText="1"/>
    </xf>
    <xf numFmtId="164" fontId="9" fillId="5" borderId="46" xfId="0" applyNumberFormat="1" applyFont="1" applyFill="1" applyBorder="1" applyAlignment="1">
      <alignment horizontal="right" vertical="center" wrapText="1" indent="1"/>
    </xf>
    <xf numFmtId="0" fontId="25" fillId="5" borderId="10" xfId="0" quotePrefix="1" applyFont="1" applyFill="1" applyBorder="1" applyAlignment="1">
      <alignment horizontal="center" vertical="center"/>
    </xf>
    <xf numFmtId="0" fontId="25" fillId="5" borderId="12" xfId="0" quotePrefix="1" applyFont="1" applyFill="1" applyBorder="1" applyAlignment="1">
      <alignment horizontal="center" vertical="center"/>
    </xf>
    <xf numFmtId="164" fontId="0" fillId="5" borderId="10" xfId="0" applyNumberFormat="1" applyFont="1" applyFill="1" applyBorder="1" applyAlignment="1">
      <alignment horizontal="right" vertical="center" wrapText="1" indent="1"/>
    </xf>
    <xf numFmtId="0" fontId="25" fillId="5" borderId="11" xfId="0" quotePrefix="1" applyFont="1" applyFill="1" applyBorder="1" applyAlignment="1">
      <alignment horizontal="center" vertical="center"/>
    </xf>
    <xf numFmtId="164" fontId="0" fillId="5" borderId="23" xfId="0" applyNumberFormat="1" applyFont="1" applyFill="1" applyBorder="1" applyAlignment="1">
      <alignment horizontal="right" vertical="center" wrapText="1" indent="1"/>
    </xf>
    <xf numFmtId="0" fontId="28" fillId="5" borderId="12" xfId="0" applyFont="1" applyFill="1" applyBorder="1" applyAlignment="1">
      <alignment vertical="center"/>
    </xf>
    <xf numFmtId="164" fontId="9" fillId="5" borderId="12" xfId="0" applyNumberFormat="1" applyFont="1" applyFill="1" applyBorder="1" applyAlignment="1">
      <alignment horizontal="right" vertical="center" wrapText="1" indent="1"/>
    </xf>
    <xf numFmtId="0" fontId="8" fillId="4" borderId="5" xfId="0" applyFont="1" applyFill="1" applyBorder="1" applyAlignment="1">
      <alignment horizontal="center" vertical="center" wrapText="1"/>
    </xf>
    <xf numFmtId="0" fontId="5" fillId="0" borderId="17" xfId="0" quotePrefix="1" applyNumberFormat="1" applyFont="1" applyBorder="1" applyAlignment="1">
      <alignment horizontal="left" vertical="center" wrapText="1"/>
    </xf>
    <xf numFmtId="0" fontId="5" fillId="0" borderId="0" xfId="0" quotePrefix="1" applyNumberFormat="1" applyFont="1" applyBorder="1" applyAlignment="1">
      <alignment horizontal="left" vertical="center" wrapText="1"/>
    </xf>
    <xf numFmtId="0" fontId="5" fillId="3" borderId="0" xfId="0" quotePrefix="1" applyNumberFormat="1" applyFont="1" applyFill="1" applyBorder="1" applyAlignment="1">
      <alignment horizontal="left" vertical="center" wrapText="1"/>
    </xf>
    <xf numFmtId="0" fontId="14" fillId="9" borderId="7" xfId="0" quotePrefix="1" applyNumberFormat="1" applyFont="1" applyFill="1" applyBorder="1" applyAlignment="1">
      <alignment horizontal="center" vertical="center" wrapText="1"/>
    </xf>
    <xf numFmtId="0" fontId="5" fillId="0" borderId="15" xfId="0" quotePrefix="1" applyNumberFormat="1" applyFont="1" applyBorder="1" applyAlignment="1">
      <alignment horizontal="left" vertical="center" wrapText="1"/>
    </xf>
    <xf numFmtId="0" fontId="5" fillId="0" borderId="19" xfId="0" quotePrefix="1" applyNumberFormat="1" applyFont="1" applyBorder="1" applyAlignment="1">
      <alignment horizontal="left" vertical="center" wrapText="1"/>
    </xf>
    <xf numFmtId="0" fontId="6" fillId="3" borderId="0" xfId="0" applyFont="1" applyFill="1" applyAlignment="1">
      <alignment vertical="center"/>
    </xf>
    <xf numFmtId="0" fontId="14" fillId="9" borderId="5" xfId="0" quotePrefix="1" applyNumberFormat="1" applyFont="1" applyFill="1" applyBorder="1" applyAlignment="1">
      <alignment horizontal="center" vertical="center" wrapText="1"/>
    </xf>
    <xf numFmtId="0" fontId="5" fillId="0" borderId="14" xfId="0" quotePrefix="1" applyNumberFormat="1" applyFont="1" applyBorder="1" applyAlignment="1">
      <alignment horizontal="left" vertical="center" wrapText="1"/>
    </xf>
    <xf numFmtId="0" fontId="5" fillId="0" borderId="16" xfId="0" quotePrefix="1" applyNumberFormat="1" applyFont="1" applyBorder="1" applyAlignment="1">
      <alignment horizontal="left" vertical="center" wrapText="1"/>
    </xf>
    <xf numFmtId="0" fontId="5" fillId="0" borderId="18" xfId="0" quotePrefix="1" applyNumberFormat="1" applyFont="1" applyBorder="1" applyAlignment="1">
      <alignment horizontal="left" vertical="center" wrapText="1"/>
    </xf>
    <xf numFmtId="0" fontId="0" fillId="0" borderId="2" xfId="0" applyBorder="1" applyAlignment="1">
      <alignment horizontal="left" vertical="center"/>
    </xf>
    <xf numFmtId="0" fontId="0" fillId="10" borderId="2" xfId="0" applyFill="1" applyBorder="1" applyAlignment="1">
      <alignment horizontal="left" vertical="center"/>
    </xf>
    <xf numFmtId="0" fontId="4" fillId="0" borderId="0" xfId="0" quotePrefix="1" applyNumberFormat="1" applyFont="1" applyBorder="1" applyAlignment="1">
      <alignment horizontal="left" vertical="center" wrapText="1"/>
    </xf>
    <xf numFmtId="0" fontId="1" fillId="0" borderId="0" xfId="1" applyFill="1" applyBorder="1" applyAlignment="1">
      <alignment horizontal="right" indent="1"/>
    </xf>
    <xf numFmtId="0" fontId="1" fillId="7" borderId="2" xfId="1" applyFill="1" applyBorder="1" applyAlignment="1">
      <alignment horizontal="right" indent="1"/>
    </xf>
    <xf numFmtId="0" fontId="2" fillId="5" borderId="2" xfId="1" applyFont="1" applyFill="1" applyBorder="1" applyAlignment="1">
      <alignment horizontal="right"/>
    </xf>
    <xf numFmtId="0" fontId="1" fillId="6" borderId="0" xfId="1" applyFill="1" applyBorder="1" applyAlignment="1">
      <alignment horizontal="right"/>
    </xf>
    <xf numFmtId="0" fontId="1" fillId="6" borderId="0" xfId="1" applyFill="1" applyBorder="1" applyAlignment="1">
      <alignment horizontal="right" indent="1"/>
    </xf>
    <xf numFmtId="0" fontId="2" fillId="7" borderId="2" xfId="1" applyFont="1" applyFill="1" applyBorder="1" applyAlignment="1">
      <alignment horizontal="right" vertical="center" wrapText="1"/>
    </xf>
    <xf numFmtId="0" fontId="2" fillId="7" borderId="1" xfId="1" applyFont="1" applyFill="1" applyBorder="1" applyAlignment="1">
      <alignment horizontal="right" vertical="center" wrapText="1" indent="1"/>
    </xf>
    <xf numFmtId="0" fontId="1" fillId="7" borderId="2" xfId="1" applyFill="1" applyBorder="1" applyAlignment="1">
      <alignment horizontal="right"/>
    </xf>
    <xf numFmtId="0" fontId="4" fillId="5" borderId="2" xfId="1" applyFont="1" applyFill="1" applyBorder="1" applyAlignment="1">
      <alignment horizontal="right"/>
    </xf>
    <xf numFmtId="0" fontId="1" fillId="6" borderId="0" xfId="1" applyFill="1" applyAlignment="1">
      <alignment horizontal="right"/>
    </xf>
    <xf numFmtId="0" fontId="1" fillId="6" borderId="0" xfId="1" applyFill="1" applyAlignment="1">
      <alignment horizontal="right" indent="1"/>
    </xf>
    <xf numFmtId="0" fontId="1" fillId="0" borderId="0" xfId="1" applyAlignment="1">
      <alignment horizontal="right" indent="1"/>
    </xf>
    <xf numFmtId="3" fontId="4" fillId="5" borderId="2" xfId="1" applyNumberFormat="1" applyFont="1" applyFill="1" applyBorder="1" applyAlignment="1">
      <alignment horizontal="right" indent="1"/>
    </xf>
    <xf numFmtId="0" fontId="1" fillId="5" borderId="0" xfId="1" applyFill="1"/>
    <xf numFmtId="0" fontId="1" fillId="5" borderId="0" xfId="1" applyFill="1" applyAlignment="1">
      <alignment horizontal="right" indent="1"/>
    </xf>
    <xf numFmtId="0" fontId="2" fillId="5" borderId="0" xfId="1" applyFont="1" applyFill="1" applyBorder="1" applyAlignment="1">
      <alignment horizontal="right"/>
    </xf>
    <xf numFmtId="3" fontId="5" fillId="5" borderId="3" xfId="1" applyNumberFormat="1" applyFont="1" applyFill="1" applyBorder="1" applyAlignment="1">
      <alignment horizontal="right"/>
    </xf>
    <xf numFmtId="164" fontId="1" fillId="7" borderId="1" xfId="1" applyNumberFormat="1" applyFill="1" applyBorder="1" applyAlignment="1">
      <alignment horizontal="right" indent="1"/>
    </xf>
    <xf numFmtId="0" fontId="2" fillId="4" borderId="1" xfId="1" applyFont="1" applyFill="1" applyBorder="1" applyAlignment="1">
      <alignment horizontal="center" vertical="center" wrapText="1"/>
    </xf>
    <xf numFmtId="0" fontId="1" fillId="5" borderId="0" xfId="1" applyFill="1" applyBorder="1"/>
    <xf numFmtId="3" fontId="4" fillId="5" borderId="3" xfId="1" applyNumberFormat="1" applyFont="1" applyFill="1" applyBorder="1" applyAlignment="1">
      <alignment horizontal="right"/>
    </xf>
    <xf numFmtId="0" fontId="1" fillId="5" borderId="25" xfId="1" applyFill="1" applyBorder="1"/>
    <xf numFmtId="0" fontId="2" fillId="4" borderId="2" xfId="1" applyFont="1" applyFill="1" applyBorder="1" applyAlignment="1">
      <alignment horizontal="right" vertical="center" wrapText="1" indent="1"/>
    </xf>
    <xf numFmtId="3" fontId="5" fillId="5" borderId="3" xfId="1" applyNumberFormat="1" applyFont="1" applyFill="1" applyBorder="1" applyAlignment="1">
      <alignment horizontal="right" indent="1"/>
    </xf>
    <xf numFmtId="3" fontId="5" fillId="5" borderId="2" xfId="1" applyNumberFormat="1" applyFont="1" applyFill="1" applyBorder="1" applyAlignment="1">
      <alignment horizontal="right" indent="1"/>
    </xf>
    <xf numFmtId="164" fontId="1" fillId="7" borderId="36" xfId="1" applyNumberFormat="1" applyFill="1" applyBorder="1" applyAlignment="1">
      <alignment horizontal="right" indent="1"/>
    </xf>
    <xf numFmtId="0" fontId="1" fillId="6" borderId="45" xfId="1" applyFill="1" applyBorder="1" applyAlignment="1">
      <alignment horizontal="right" indent="1"/>
    </xf>
    <xf numFmtId="0" fontId="1" fillId="0" borderId="0" xfId="1" applyAlignment="1">
      <alignment vertical="center"/>
    </xf>
    <xf numFmtId="0" fontId="1" fillId="4" borderId="0" xfId="1" applyFill="1"/>
    <xf numFmtId="0" fontId="2" fillId="3" borderId="0" xfId="1" applyFont="1" applyFill="1" applyAlignment="1">
      <alignment horizontal="center" vertical="center"/>
    </xf>
    <xf numFmtId="164" fontId="0" fillId="7" borderId="46" xfId="0" applyNumberFormat="1" applyFont="1" applyFill="1" applyBorder="1" applyAlignment="1">
      <alignment horizontal="right" vertical="center" wrapText="1" indent="1"/>
    </xf>
    <xf numFmtId="164" fontId="0" fillId="7" borderId="5" xfId="0" applyNumberFormat="1" applyFont="1" applyFill="1" applyBorder="1" applyAlignment="1">
      <alignment horizontal="right" vertical="center" wrapText="1" indent="1"/>
    </xf>
    <xf numFmtId="164" fontId="0" fillId="7" borderId="8" xfId="0" applyNumberFormat="1" applyFont="1" applyFill="1" applyBorder="1" applyAlignment="1">
      <alignment horizontal="right" vertical="center" wrapText="1" indent="1"/>
    </xf>
    <xf numFmtId="2" fontId="1" fillId="0" borderId="0" xfId="1" applyNumberFormat="1"/>
    <xf numFmtId="165" fontId="1" fillId="0" borderId="0" xfId="1" applyNumberFormat="1"/>
    <xf numFmtId="166" fontId="0" fillId="0" borderId="0" xfId="0" applyNumberFormat="1"/>
    <xf numFmtId="9" fontId="0" fillId="0" borderId="0" xfId="0" applyNumberFormat="1"/>
    <xf numFmtId="0" fontId="12" fillId="0" borderId="4" xfId="0" applyFont="1" applyBorder="1" applyAlignment="1">
      <alignment horizontal="center"/>
    </xf>
    <xf numFmtId="0" fontId="13" fillId="0" borderId="4" xfId="0" applyFont="1" applyBorder="1" applyAlignment="1">
      <alignment horizontal="center"/>
    </xf>
    <xf numFmtId="0" fontId="4" fillId="8" borderId="5" xfId="0" applyFont="1" applyFill="1" applyBorder="1" applyAlignment="1" applyProtection="1">
      <alignment horizontal="center" vertical="center" wrapText="1"/>
    </xf>
    <xf numFmtId="0" fontId="4" fillId="8" borderId="6" xfId="0" applyFont="1" applyFill="1" applyBorder="1" applyAlignment="1" applyProtection="1">
      <alignment horizontal="center" vertical="center" wrapText="1"/>
    </xf>
    <xf numFmtId="0" fontId="4" fillId="8" borderId="7" xfId="0" applyFont="1" applyFill="1" applyBorder="1" applyAlignment="1" applyProtection="1">
      <alignment horizontal="center" vertical="center" wrapText="1"/>
    </xf>
    <xf numFmtId="0" fontId="4" fillId="8" borderId="8" xfId="0" applyFont="1" applyFill="1" applyBorder="1" applyAlignment="1" applyProtection="1">
      <alignment horizontal="center" vertical="center" wrapText="1"/>
    </xf>
    <xf numFmtId="0" fontId="4" fillId="8" borderId="4" xfId="0" applyFont="1" applyFill="1" applyBorder="1" applyAlignment="1" applyProtection="1">
      <alignment horizontal="center" vertical="center" wrapText="1"/>
    </xf>
    <xf numFmtId="0" fontId="4" fillId="8" borderId="9" xfId="0" applyFont="1" applyFill="1" applyBorder="1" applyAlignment="1" applyProtection="1">
      <alignment horizontal="center" vertical="center" wrapText="1"/>
    </xf>
    <xf numFmtId="0" fontId="16" fillId="0" borderId="4" xfId="0" quotePrefix="1" applyNumberFormat="1" applyFont="1" applyBorder="1" applyAlignment="1">
      <alignment horizontal="center" vertical="top" wrapText="1"/>
    </xf>
    <xf numFmtId="0" fontId="19" fillId="4" borderId="27" xfId="0" applyFont="1" applyFill="1" applyBorder="1" applyAlignment="1">
      <alignment horizontal="center" vertical="center" wrapText="1"/>
    </xf>
    <xf numFmtId="0" fontId="19" fillId="4" borderId="28"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8" fillId="7" borderId="11" xfId="0" applyFont="1" applyFill="1" applyBorder="1" applyAlignment="1">
      <alignment horizontal="center" vertical="center"/>
    </xf>
    <xf numFmtId="0" fontId="18" fillId="7" borderId="23" xfId="0" applyFont="1" applyFill="1" applyBorder="1" applyAlignment="1">
      <alignment horizontal="center" vertical="center"/>
    </xf>
    <xf numFmtId="0" fontId="19" fillId="11" borderId="22" xfId="0" applyFont="1" applyFill="1" applyBorder="1" applyAlignment="1">
      <alignment horizontal="center" vertical="center" wrapText="1"/>
    </xf>
    <xf numFmtId="0" fontId="19" fillId="11" borderId="0" xfId="0" applyFont="1" applyFill="1" applyBorder="1" applyAlignment="1">
      <alignment horizontal="center" vertical="center" wrapText="1"/>
    </xf>
    <xf numFmtId="0" fontId="19" fillId="11" borderId="4" xfId="0" applyFont="1" applyFill="1" applyBorder="1" applyAlignment="1">
      <alignment horizontal="center" vertical="center" wrapText="1"/>
    </xf>
    <xf numFmtId="0" fontId="19" fillId="4" borderId="24" xfId="0" applyFont="1" applyFill="1" applyBorder="1" applyAlignment="1">
      <alignment horizontal="center" vertical="center" wrapText="1"/>
    </xf>
    <xf numFmtId="0" fontId="19" fillId="4" borderId="25" xfId="0" applyFont="1" applyFill="1" applyBorder="1" applyAlignment="1">
      <alignment horizontal="center" vertical="center" wrapText="1"/>
    </xf>
    <xf numFmtId="0" fontId="19" fillId="4" borderId="26" xfId="0" applyFont="1" applyFill="1" applyBorder="1" applyAlignment="1">
      <alignment horizontal="center" vertical="center" wrapText="1"/>
    </xf>
    <xf numFmtId="0" fontId="0" fillId="0" borderId="0" xfId="0" applyBorder="1" applyAlignment="1">
      <alignment horizontal="center"/>
    </xf>
    <xf numFmtId="0" fontId="6" fillId="3" borderId="0" xfId="1" applyFont="1" applyFill="1" applyBorder="1" applyAlignment="1">
      <alignment horizontal="left" wrapText="1"/>
    </xf>
    <xf numFmtId="0" fontId="6" fillId="3" borderId="0" xfId="1" applyFont="1" applyFill="1" applyBorder="1" applyAlignment="1">
      <alignment horizontal="left" vertical="top" wrapText="1"/>
    </xf>
    <xf numFmtId="0" fontId="1" fillId="0" borderId="0" xfId="1" applyFill="1" applyAlignment="1">
      <alignment horizontal="left"/>
    </xf>
    <xf numFmtId="49" fontId="25" fillId="13" borderId="46" xfId="0" applyNumberFormat="1" applyFont="1" applyFill="1" applyBorder="1" applyAlignment="1">
      <alignment horizontal="center" vertical="center"/>
    </xf>
    <xf numFmtId="49" fontId="25" fillId="13" borderId="47" xfId="0" applyNumberFormat="1" applyFont="1" applyFill="1" applyBorder="1" applyAlignment="1">
      <alignment horizontal="center" vertical="center"/>
    </xf>
    <xf numFmtId="49" fontId="25" fillId="13" borderId="48" xfId="0" applyNumberFormat="1" applyFont="1" applyFill="1" applyBorder="1" applyAlignment="1">
      <alignment horizontal="center" vertical="center"/>
    </xf>
    <xf numFmtId="0" fontId="24" fillId="4" borderId="46" xfId="0" applyFont="1" applyFill="1" applyBorder="1" applyAlignment="1">
      <alignment horizontal="center"/>
    </xf>
    <xf numFmtId="0" fontId="24" fillId="4" borderId="47" xfId="0" applyFont="1" applyFill="1" applyBorder="1" applyAlignment="1">
      <alignment horizontal="center"/>
    </xf>
    <xf numFmtId="0" fontId="24" fillId="4" borderId="48" xfId="0" applyFont="1" applyFill="1" applyBorder="1" applyAlignment="1">
      <alignment horizontal="center"/>
    </xf>
    <xf numFmtId="0" fontId="24" fillId="4" borderId="46" xfId="0" applyFont="1" applyFill="1" applyBorder="1" applyAlignment="1">
      <alignment horizontal="center" vertical="center" wrapText="1"/>
    </xf>
    <xf numFmtId="0" fontId="24" fillId="4" borderId="47" xfId="0" applyFont="1" applyFill="1" applyBorder="1" applyAlignment="1">
      <alignment horizontal="center" vertical="center" wrapText="1"/>
    </xf>
    <xf numFmtId="0" fontId="24" fillId="4" borderId="48" xfId="0" applyFont="1" applyFill="1" applyBorder="1" applyAlignment="1">
      <alignment horizontal="center" vertical="center" wrapText="1"/>
    </xf>
    <xf numFmtId="0" fontId="26" fillId="5" borderId="7" xfId="0" applyFont="1" applyFill="1" applyBorder="1" applyAlignment="1">
      <alignment horizontal="center" vertical="center" wrapText="1"/>
    </xf>
    <xf numFmtId="0" fontId="26" fillId="5" borderId="57" xfId="0" applyFont="1" applyFill="1" applyBorder="1" applyAlignment="1">
      <alignment horizontal="center" vertical="center" wrapText="1"/>
    </xf>
    <xf numFmtId="0" fontId="26" fillId="5" borderId="54" xfId="0" applyFont="1" applyFill="1" applyBorder="1" applyAlignment="1">
      <alignment horizontal="center" vertical="center" wrapText="1"/>
    </xf>
    <xf numFmtId="0" fontId="26" fillId="5" borderId="58" xfId="0" applyFont="1" applyFill="1" applyBorder="1" applyAlignment="1">
      <alignment horizontal="center" vertical="center" wrapText="1"/>
    </xf>
    <xf numFmtId="0" fontId="26" fillId="5" borderId="56" xfId="0" applyFont="1" applyFill="1" applyBorder="1" applyAlignment="1">
      <alignment horizontal="center" vertical="center" wrapText="1"/>
    </xf>
    <xf numFmtId="0" fontId="27" fillId="5" borderId="57" xfId="0" applyFont="1" applyFill="1" applyBorder="1" applyAlignment="1">
      <alignment horizontal="center" vertical="center" wrapText="1"/>
    </xf>
    <xf numFmtId="0" fontId="27" fillId="5" borderId="11" xfId="0" applyFont="1" applyFill="1" applyBorder="1" applyAlignment="1">
      <alignment horizontal="center" vertical="center" wrapText="1"/>
    </xf>
    <xf numFmtId="0" fontId="27" fillId="5" borderId="10" xfId="0" applyFont="1" applyFill="1" applyBorder="1" applyAlignment="1">
      <alignment horizontal="center" vertical="center" wrapText="1"/>
    </xf>
    <xf numFmtId="0" fontId="27" fillId="5" borderId="13" xfId="0" applyFont="1" applyFill="1" applyBorder="1" applyAlignment="1">
      <alignment horizontal="center" vertical="center" wrapText="1"/>
    </xf>
    <xf numFmtId="164" fontId="0" fillId="13" borderId="46" xfId="0" applyNumberFormat="1" applyFont="1" applyFill="1" applyBorder="1" applyAlignment="1">
      <alignment horizontal="center" vertical="center" wrapText="1"/>
    </xf>
    <xf numFmtId="164" fontId="0" fillId="13" borderId="48" xfId="0" applyNumberFormat="1" applyFont="1" applyFill="1" applyBorder="1" applyAlignment="1">
      <alignment horizontal="center" vertical="center" wrapText="1"/>
    </xf>
  </cellXfs>
  <cellStyles count="5">
    <cellStyle name="Currency" xfId="4" builtinId="4"/>
    <cellStyle name="Currency 2" xfId="2" xr:uid="{00000000-0005-0000-0000-000000000000}"/>
    <cellStyle name="Currency 3" xfId="3"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585C-D725-42D7-B138-91DCB1EDB13B}">
  <dimension ref="A1:A20"/>
  <sheetViews>
    <sheetView topLeftCell="A2" workbookViewId="0">
      <selection activeCell="A12" sqref="A12"/>
    </sheetView>
  </sheetViews>
  <sheetFormatPr defaultRowHeight="15" x14ac:dyDescent="0.25"/>
  <cols>
    <col min="1" max="1" width="100" customWidth="1"/>
  </cols>
  <sheetData>
    <row r="1" spans="1:1" ht="26.45" customHeight="1" x14ac:dyDescent="0.25">
      <c r="A1" s="20" t="s">
        <v>9</v>
      </c>
    </row>
    <row r="3" spans="1:1" ht="24.6" customHeight="1" x14ac:dyDescent="0.25">
      <c r="A3" s="21" t="s">
        <v>10</v>
      </c>
    </row>
    <row r="4" spans="1:1" ht="54.6" customHeight="1" x14ac:dyDescent="0.25">
      <c r="A4" s="22" t="s">
        <v>438</v>
      </c>
    </row>
    <row r="5" spans="1:1" ht="33.6" customHeight="1" x14ac:dyDescent="0.25">
      <c r="A5" s="22" t="s">
        <v>437</v>
      </c>
    </row>
    <row r="6" spans="1:1" ht="24.6" customHeight="1" x14ac:dyDescent="0.25">
      <c r="A6" s="21" t="s">
        <v>11</v>
      </c>
    </row>
    <row r="7" spans="1:1" ht="26.1" customHeight="1" x14ac:dyDescent="0.25">
      <c r="A7" s="23" t="s">
        <v>414</v>
      </c>
    </row>
    <row r="8" spans="1:1" ht="40.35" customHeight="1" x14ac:dyDescent="0.25">
      <c r="A8" s="24" t="s">
        <v>439</v>
      </c>
    </row>
    <row r="9" spans="1:1" x14ac:dyDescent="0.25">
      <c r="A9" s="24" t="s">
        <v>418</v>
      </c>
    </row>
    <row r="10" spans="1:1" ht="25.35" customHeight="1" x14ac:dyDescent="0.25">
      <c r="A10" s="23" t="s">
        <v>12</v>
      </c>
    </row>
    <row r="11" spans="1:1" ht="30" x14ac:dyDescent="0.25">
      <c r="A11" s="24" t="s">
        <v>419</v>
      </c>
    </row>
    <row r="12" spans="1:1" ht="23.45" customHeight="1" x14ac:dyDescent="0.25">
      <c r="A12" s="23" t="s">
        <v>434</v>
      </c>
    </row>
    <row r="13" spans="1:1" ht="32.1" customHeight="1" x14ac:dyDescent="0.25">
      <c r="A13" s="24" t="s">
        <v>435</v>
      </c>
    </row>
    <row r="14" spans="1:1" x14ac:dyDescent="0.25">
      <c r="A14" s="24" t="s">
        <v>420</v>
      </c>
    </row>
    <row r="15" spans="1:1" ht="34.35" customHeight="1" x14ac:dyDescent="0.25">
      <c r="A15" s="23" t="s">
        <v>433</v>
      </c>
    </row>
    <row r="16" spans="1:1" ht="44.25" customHeight="1" x14ac:dyDescent="0.25">
      <c r="A16" s="24" t="s">
        <v>436</v>
      </c>
    </row>
    <row r="18" spans="1:1" x14ac:dyDescent="0.25">
      <c r="A18" s="23" t="s">
        <v>415</v>
      </c>
    </row>
    <row r="19" spans="1:1" x14ac:dyDescent="0.25">
      <c r="A19" t="s">
        <v>416</v>
      </c>
    </row>
    <row r="20" spans="1:1" x14ac:dyDescent="0.25">
      <c r="A20" s="24" t="s">
        <v>420</v>
      </c>
    </row>
  </sheetData>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D0FE4-6875-47E0-A277-6475549C17D1}">
  <dimension ref="B2:F28"/>
  <sheetViews>
    <sheetView topLeftCell="A3" zoomScaleNormal="100" workbookViewId="0">
      <selection activeCell="F18" sqref="F18"/>
    </sheetView>
  </sheetViews>
  <sheetFormatPr defaultColWidth="9.140625" defaultRowHeight="14.25" x14ac:dyDescent="0.2"/>
  <cols>
    <col min="1" max="1" width="9.140625" style="26"/>
    <col min="2" max="2" width="12.140625" style="26" bestFit="1" customWidth="1"/>
    <col min="3" max="3" width="51.85546875" style="26" customWidth="1"/>
    <col min="4" max="4" width="31.140625" style="26" customWidth="1"/>
    <col min="5" max="5" width="45.5703125" style="26" customWidth="1"/>
    <col min="6" max="6" width="77.5703125" style="26" customWidth="1"/>
    <col min="7" max="16384" width="9.140625" style="26"/>
  </cols>
  <sheetData>
    <row r="2" spans="2:6" x14ac:dyDescent="0.2">
      <c r="B2" s="25" t="s">
        <v>13</v>
      </c>
      <c r="C2" s="25"/>
      <c r="D2" s="25"/>
    </row>
    <row r="3" spans="2:6" ht="15.75" thickBot="1" x14ac:dyDescent="0.25">
      <c r="B3" s="219"/>
      <c r="C3" s="220"/>
      <c r="D3" s="220"/>
      <c r="E3" s="220"/>
      <c r="F3" s="220"/>
    </row>
    <row r="4" spans="2:6" x14ac:dyDescent="0.2">
      <c r="B4" s="221" t="s">
        <v>14</v>
      </c>
      <c r="C4" s="222"/>
      <c r="D4" s="222"/>
      <c r="E4" s="222"/>
      <c r="F4" s="223"/>
    </row>
    <row r="5" spans="2:6" ht="15" thickBot="1" x14ac:dyDescent="0.25">
      <c r="B5" s="224"/>
      <c r="C5" s="225"/>
      <c r="D5" s="225"/>
      <c r="E5" s="225"/>
      <c r="F5" s="226"/>
    </row>
    <row r="6" spans="2:6" ht="39" thickBot="1" x14ac:dyDescent="0.25">
      <c r="B6" s="27" t="s">
        <v>15</v>
      </c>
      <c r="C6" s="28" t="s">
        <v>16</v>
      </c>
      <c r="D6" s="29" t="s">
        <v>17</v>
      </c>
      <c r="E6" s="30" t="s">
        <v>18</v>
      </c>
      <c r="F6" s="29" t="s">
        <v>19</v>
      </c>
    </row>
    <row r="7" spans="2:6" s="34" customFormat="1" ht="25.5" x14ac:dyDescent="0.25">
      <c r="B7" s="31" t="s">
        <v>20</v>
      </c>
      <c r="C7" s="32" t="s">
        <v>21</v>
      </c>
      <c r="D7" s="33" t="s">
        <v>22</v>
      </c>
      <c r="E7" s="33" t="s">
        <v>23</v>
      </c>
      <c r="F7" s="33" t="s">
        <v>24</v>
      </c>
    </row>
    <row r="8" spans="2:6" s="34" customFormat="1" ht="25.5" x14ac:dyDescent="0.25">
      <c r="B8" s="35"/>
      <c r="C8" s="36" t="s">
        <v>25</v>
      </c>
      <c r="D8" s="37" t="s">
        <v>26</v>
      </c>
      <c r="E8" s="37" t="s">
        <v>27</v>
      </c>
      <c r="F8" s="37"/>
    </row>
    <row r="9" spans="2:6" s="34" customFormat="1" ht="15" thickBot="1" x14ac:dyDescent="0.3">
      <c r="B9" s="38"/>
      <c r="C9" s="39" t="s">
        <v>28</v>
      </c>
      <c r="D9" s="40"/>
      <c r="E9" s="37"/>
      <c r="F9" s="40"/>
    </row>
    <row r="10" spans="2:6" s="34" customFormat="1" ht="25.5" x14ac:dyDescent="0.25">
      <c r="B10" s="31" t="s">
        <v>29</v>
      </c>
      <c r="C10" s="32" t="s">
        <v>21</v>
      </c>
      <c r="D10" s="33" t="s">
        <v>22</v>
      </c>
      <c r="E10" s="33" t="s">
        <v>30</v>
      </c>
      <c r="F10" s="33" t="s">
        <v>31</v>
      </c>
    </row>
    <row r="11" spans="2:6" s="34" customFormat="1" ht="25.5" x14ac:dyDescent="0.25">
      <c r="B11" s="35"/>
      <c r="C11" s="36" t="s">
        <v>25</v>
      </c>
      <c r="D11" s="37" t="s">
        <v>26</v>
      </c>
      <c r="E11" s="37"/>
      <c r="F11" s="37" t="s">
        <v>27</v>
      </c>
    </row>
    <row r="12" spans="2:6" s="34" customFormat="1" ht="15" thickBot="1" x14ac:dyDescent="0.3">
      <c r="B12" s="38"/>
      <c r="C12" s="39"/>
      <c r="D12" s="40" t="s">
        <v>32</v>
      </c>
      <c r="E12" s="40"/>
      <c r="F12" s="40"/>
    </row>
    <row r="13" spans="2:6" s="34" customFormat="1" ht="38.25" x14ac:dyDescent="0.25">
      <c r="B13" s="31" t="s">
        <v>33</v>
      </c>
      <c r="C13" s="32" t="s">
        <v>34</v>
      </c>
      <c r="D13" s="33" t="s">
        <v>35</v>
      </c>
      <c r="E13" s="33" t="s">
        <v>36</v>
      </c>
      <c r="F13" s="33" t="s">
        <v>37</v>
      </c>
    </row>
    <row r="14" spans="2:6" s="34" customFormat="1" ht="25.5" x14ac:dyDescent="0.25">
      <c r="B14" s="35"/>
      <c r="C14" s="36" t="s">
        <v>38</v>
      </c>
      <c r="D14" s="37" t="s">
        <v>39</v>
      </c>
      <c r="E14" s="37" t="s">
        <v>40</v>
      </c>
      <c r="F14" s="37" t="s">
        <v>41</v>
      </c>
    </row>
    <row r="15" spans="2:6" s="34" customFormat="1" ht="17.100000000000001" customHeight="1" x14ac:dyDescent="0.25">
      <c r="B15" s="35"/>
      <c r="C15" s="36"/>
      <c r="D15" s="37" t="s">
        <v>42</v>
      </c>
      <c r="E15" s="37" t="s">
        <v>43</v>
      </c>
      <c r="F15" s="41"/>
    </row>
    <row r="16" spans="2:6" s="34" customFormat="1" ht="25.5" x14ac:dyDescent="0.25">
      <c r="B16" s="35"/>
      <c r="C16" s="36" t="s">
        <v>44</v>
      </c>
      <c r="D16" s="41"/>
      <c r="E16" s="37"/>
      <c r="F16" s="37"/>
    </row>
    <row r="17" spans="2:6" s="34" customFormat="1" ht="15" thickBot="1" x14ac:dyDescent="0.3">
      <c r="B17" s="38"/>
      <c r="C17" s="39" t="s">
        <v>45</v>
      </c>
      <c r="D17" s="42"/>
      <c r="E17" s="42"/>
      <c r="F17" s="40"/>
    </row>
    <row r="18" spans="2:6" s="34" customFormat="1" ht="38.25" x14ac:dyDescent="0.25">
      <c r="B18" s="35" t="s">
        <v>46</v>
      </c>
      <c r="C18" s="36" t="s">
        <v>47</v>
      </c>
      <c r="D18" s="37" t="s">
        <v>48</v>
      </c>
      <c r="E18" s="37" t="s">
        <v>49</v>
      </c>
      <c r="F18" s="37" t="s">
        <v>50</v>
      </c>
    </row>
    <row r="19" spans="2:6" s="34" customFormat="1" ht="25.5" x14ac:dyDescent="0.25">
      <c r="B19" s="35"/>
      <c r="C19" s="36" t="s">
        <v>51</v>
      </c>
      <c r="D19" s="37" t="s">
        <v>52</v>
      </c>
      <c r="E19" s="37" t="s">
        <v>40</v>
      </c>
      <c r="F19" s="37" t="s">
        <v>53</v>
      </c>
    </row>
    <row r="20" spans="2:6" s="34" customFormat="1" ht="25.5" x14ac:dyDescent="0.25">
      <c r="B20" s="35"/>
      <c r="C20" s="36" t="s">
        <v>54</v>
      </c>
      <c r="D20" s="43" t="s">
        <v>55</v>
      </c>
      <c r="E20" s="37" t="s">
        <v>56</v>
      </c>
      <c r="F20" s="43"/>
    </row>
    <row r="21" spans="2:6" s="34" customFormat="1" x14ac:dyDescent="0.25">
      <c r="B21" s="35"/>
      <c r="C21" s="36" t="s">
        <v>57</v>
      </c>
      <c r="D21" s="43" t="s">
        <v>58</v>
      </c>
      <c r="E21" s="43"/>
      <c r="F21" s="43"/>
    </row>
    <row r="22" spans="2:6" s="34" customFormat="1" ht="25.5" x14ac:dyDescent="0.25">
      <c r="B22" s="35"/>
      <c r="C22" s="36" t="s">
        <v>59</v>
      </c>
      <c r="D22" s="37" t="s">
        <v>60</v>
      </c>
      <c r="E22" s="43"/>
      <c r="F22" s="43"/>
    </row>
    <row r="23" spans="2:6" s="34" customFormat="1" ht="63" customHeight="1" x14ac:dyDescent="0.25">
      <c r="B23" s="35"/>
      <c r="C23" s="36" t="s">
        <v>61</v>
      </c>
      <c r="D23" s="37" t="s">
        <v>62</v>
      </c>
      <c r="E23" s="43"/>
      <c r="F23" s="43"/>
    </row>
    <row r="24" spans="2:6" s="34" customFormat="1" ht="38.1" customHeight="1" x14ac:dyDescent="0.25">
      <c r="B24" s="35"/>
      <c r="C24" s="44" t="s">
        <v>63</v>
      </c>
      <c r="D24" s="41"/>
      <c r="E24" s="43"/>
      <c r="F24" s="43"/>
    </row>
    <row r="25" spans="2:6" s="34" customFormat="1" ht="51" x14ac:dyDescent="0.25">
      <c r="B25" s="35"/>
      <c r="C25" s="45" t="s">
        <v>64</v>
      </c>
      <c r="D25" s="41"/>
      <c r="E25" s="43"/>
      <c r="F25" s="43"/>
    </row>
    <row r="26" spans="2:6" s="34" customFormat="1" ht="39" thickBot="1" x14ac:dyDescent="0.3">
      <c r="B26" s="38"/>
      <c r="C26" s="46" t="s">
        <v>65</v>
      </c>
      <c r="D26" s="42"/>
      <c r="E26" s="47"/>
      <c r="F26" s="47"/>
    </row>
    <row r="27" spans="2:6" x14ac:dyDescent="0.2">
      <c r="C27" s="48"/>
      <c r="D27" s="48"/>
    </row>
    <row r="28" spans="2:6" x14ac:dyDescent="0.2">
      <c r="B28" s="49"/>
      <c r="C28" s="48"/>
      <c r="D28" s="48"/>
    </row>
  </sheetData>
  <mergeCells count="2">
    <mergeCell ref="B3:F3"/>
    <mergeCell ref="B4:F5"/>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B5965-4C19-46FB-9091-BA82E85C7EA7}">
  <dimension ref="B1:C21"/>
  <sheetViews>
    <sheetView topLeftCell="A16" zoomScale="90" zoomScaleNormal="90" workbookViewId="0">
      <selection activeCell="B18" sqref="B18"/>
    </sheetView>
  </sheetViews>
  <sheetFormatPr defaultColWidth="8.85546875" defaultRowHeight="129.6" customHeight="1" x14ac:dyDescent="0.25"/>
  <cols>
    <col min="1" max="1" width="8.85546875" style="50"/>
    <col min="2" max="2" width="50.42578125" style="169" customWidth="1"/>
    <col min="3" max="3" width="153.85546875" style="169" customWidth="1"/>
    <col min="4" max="4" width="57.85546875" style="50" customWidth="1"/>
    <col min="5" max="16384" width="8.85546875" style="50"/>
  </cols>
  <sheetData>
    <row r="1" spans="2:3" ht="12.75" x14ac:dyDescent="0.25"/>
    <row r="2" spans="2:3" ht="18.600000000000001" customHeight="1" x14ac:dyDescent="0.25">
      <c r="B2" s="174" t="s">
        <v>66</v>
      </c>
      <c r="C2" s="170"/>
    </row>
    <row r="3" spans="2:3" ht="18.600000000000001" customHeight="1" thickBot="1" x14ac:dyDescent="0.3">
      <c r="B3" s="227"/>
      <c r="C3" s="227"/>
    </row>
    <row r="4" spans="2:3" ht="27.6" customHeight="1" thickBot="1" x14ac:dyDescent="0.3">
      <c r="B4" s="175" t="s">
        <v>0</v>
      </c>
      <c r="C4" s="171" t="s">
        <v>67</v>
      </c>
    </row>
    <row r="5" spans="2:3" ht="134.44999999999999" customHeight="1" x14ac:dyDescent="0.25">
      <c r="B5" s="176" t="s">
        <v>350</v>
      </c>
      <c r="C5" s="172" t="s">
        <v>68</v>
      </c>
    </row>
    <row r="6" spans="2:3" ht="57.6" customHeight="1" x14ac:dyDescent="0.25">
      <c r="B6" s="177" t="s">
        <v>351</v>
      </c>
      <c r="C6" s="168" t="s">
        <v>69</v>
      </c>
    </row>
    <row r="7" spans="2:3" ht="48" customHeight="1" x14ac:dyDescent="0.25">
      <c r="B7" s="177" t="s">
        <v>353</v>
      </c>
      <c r="C7" s="168" t="s">
        <v>70</v>
      </c>
    </row>
    <row r="8" spans="2:3" ht="48.6" customHeight="1" x14ac:dyDescent="0.25">
      <c r="B8" s="177" t="s">
        <v>352</v>
      </c>
      <c r="C8" s="168" t="s">
        <v>71</v>
      </c>
    </row>
    <row r="9" spans="2:3" ht="270" customHeight="1" x14ac:dyDescent="0.25">
      <c r="B9" s="177" t="s">
        <v>72</v>
      </c>
      <c r="C9" s="168" t="s">
        <v>73</v>
      </c>
    </row>
    <row r="10" spans="2:3" ht="131.44999999999999" customHeight="1" x14ac:dyDescent="0.25">
      <c r="B10" s="177" t="s">
        <v>74</v>
      </c>
      <c r="C10" s="168" t="s">
        <v>75</v>
      </c>
    </row>
    <row r="11" spans="2:3" ht="156.6" customHeight="1" x14ac:dyDescent="0.25">
      <c r="B11" s="177" t="s">
        <v>76</v>
      </c>
      <c r="C11" s="168" t="s">
        <v>77</v>
      </c>
    </row>
    <row r="12" spans="2:3" ht="201" customHeight="1" x14ac:dyDescent="0.25">
      <c r="B12" s="177" t="s">
        <v>78</v>
      </c>
      <c r="C12" s="168" t="s">
        <v>79</v>
      </c>
    </row>
    <row r="13" spans="2:3" ht="129.6" customHeight="1" x14ac:dyDescent="0.25">
      <c r="B13" s="177" t="s">
        <v>80</v>
      </c>
      <c r="C13" s="168" t="s">
        <v>81</v>
      </c>
    </row>
    <row r="14" spans="2:3" ht="182.45" customHeight="1" x14ac:dyDescent="0.25">
      <c r="B14" s="177" t="s">
        <v>82</v>
      </c>
      <c r="C14" s="168" t="s">
        <v>83</v>
      </c>
    </row>
    <row r="15" spans="2:3" ht="76.349999999999994" customHeight="1" x14ac:dyDescent="0.25">
      <c r="B15" s="177" t="s">
        <v>84</v>
      </c>
      <c r="C15" s="168" t="s">
        <v>85</v>
      </c>
    </row>
    <row r="16" spans="2:3" ht="144" customHeight="1" x14ac:dyDescent="0.25">
      <c r="B16" s="177" t="s">
        <v>86</v>
      </c>
      <c r="C16" s="168" t="s">
        <v>87</v>
      </c>
    </row>
    <row r="17" spans="2:3" ht="89.1" customHeight="1" thickBot="1" x14ac:dyDescent="0.3">
      <c r="B17" s="178" t="s">
        <v>88</v>
      </c>
      <c r="C17" s="173" t="s">
        <v>89</v>
      </c>
    </row>
    <row r="18" spans="2:3" ht="100.5" customHeight="1" thickBot="1" x14ac:dyDescent="0.3">
      <c r="B18" s="179" t="s">
        <v>90</v>
      </c>
      <c r="C18" s="173" t="s">
        <v>91</v>
      </c>
    </row>
    <row r="19" spans="2:3" ht="89.1" customHeight="1" thickBot="1" x14ac:dyDescent="0.3">
      <c r="B19" s="180" t="s">
        <v>92</v>
      </c>
      <c r="C19" s="173" t="s">
        <v>93</v>
      </c>
    </row>
    <row r="20" spans="2:3" ht="114" customHeight="1" thickBot="1" x14ac:dyDescent="0.3">
      <c r="B20" s="179" t="s">
        <v>94</v>
      </c>
      <c r="C20" s="173" t="s">
        <v>95</v>
      </c>
    </row>
    <row r="21" spans="2:3" ht="129.6" customHeight="1" x14ac:dyDescent="0.25">
      <c r="B21" s="181" t="s">
        <v>96</v>
      </c>
    </row>
  </sheetData>
  <mergeCells count="1">
    <mergeCell ref="B3:C3"/>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CA50-B66C-4EB6-8437-1737C8299CD7}">
  <dimension ref="B2:AG58"/>
  <sheetViews>
    <sheetView topLeftCell="B1" workbookViewId="0">
      <selection activeCell="E12" sqref="E12"/>
    </sheetView>
  </sheetViews>
  <sheetFormatPr defaultRowHeight="15" x14ac:dyDescent="0.25"/>
  <cols>
    <col min="2" max="2" width="51.140625" customWidth="1"/>
    <col min="3" max="3" width="15.42578125" customWidth="1"/>
    <col min="4" max="5" width="12.5703125" customWidth="1"/>
    <col min="6" max="7" width="12.140625" customWidth="1"/>
    <col min="8" max="8" width="14.85546875" customWidth="1"/>
    <col min="9" max="9" width="13.140625" customWidth="1"/>
    <col min="10" max="10" width="3.85546875" customWidth="1"/>
    <col min="11" max="11" width="15.85546875" customWidth="1"/>
    <col min="12" max="12" width="12.5703125" customWidth="1"/>
    <col min="13" max="13" width="12.85546875" customWidth="1"/>
    <col min="14" max="14" width="13.140625" customWidth="1"/>
    <col min="15" max="15" width="12.140625" customWidth="1"/>
    <col min="16" max="16" width="11.85546875" customWidth="1"/>
    <col min="17" max="17" width="11.5703125" customWidth="1"/>
    <col min="19" max="19" width="15" bestFit="1" customWidth="1"/>
    <col min="20" max="24" width="12" customWidth="1"/>
    <col min="25" max="25" width="11.140625" customWidth="1"/>
    <col min="26" max="26" width="2.85546875" customWidth="1"/>
    <col min="27" max="27" width="15.5703125" customWidth="1"/>
    <col min="28" max="33" width="12.5703125" customWidth="1"/>
  </cols>
  <sheetData>
    <row r="2" spans="2:33" ht="15.75" x14ac:dyDescent="0.25">
      <c r="B2" s="51" t="s">
        <v>97</v>
      </c>
      <c r="C2" s="51"/>
    </row>
    <row r="3" spans="2:33" ht="15.75" thickBot="1" x14ac:dyDescent="0.3"/>
    <row r="4" spans="2:33" ht="18" customHeight="1" x14ac:dyDescent="0.25">
      <c r="B4" s="231" t="s">
        <v>98</v>
      </c>
      <c r="C4" s="52" t="s">
        <v>99</v>
      </c>
      <c r="D4" s="53"/>
      <c r="E4" s="53"/>
      <c r="F4" s="53"/>
      <c r="G4" s="53"/>
      <c r="H4" s="53"/>
      <c r="I4" s="54"/>
      <c r="J4" s="233"/>
      <c r="K4" s="52" t="s">
        <v>99</v>
      </c>
      <c r="L4" s="53"/>
      <c r="M4" s="53"/>
      <c r="N4" s="53"/>
      <c r="O4" s="53"/>
      <c r="P4" s="53"/>
      <c r="Q4" s="54"/>
      <c r="S4" s="52" t="s">
        <v>99</v>
      </c>
      <c r="T4" s="53"/>
      <c r="U4" s="53"/>
      <c r="V4" s="53"/>
      <c r="W4" s="53"/>
      <c r="X4" s="53"/>
      <c r="Y4" s="54"/>
      <c r="Z4" s="233"/>
      <c r="AA4" s="52" t="s">
        <v>99</v>
      </c>
      <c r="AB4" s="53"/>
      <c r="AC4" s="53"/>
      <c r="AD4" s="53"/>
      <c r="AE4" s="53"/>
      <c r="AF4" s="53"/>
      <c r="AG4" s="54"/>
    </row>
    <row r="5" spans="2:33" ht="18" x14ac:dyDescent="0.25">
      <c r="B5" s="232"/>
      <c r="C5" s="236" t="s">
        <v>100</v>
      </c>
      <c r="D5" s="237"/>
      <c r="E5" s="237"/>
      <c r="F5" s="237"/>
      <c r="G5" s="237"/>
      <c r="H5" s="237"/>
      <c r="I5" s="238"/>
      <c r="J5" s="234"/>
      <c r="K5" s="228" t="s">
        <v>101</v>
      </c>
      <c r="L5" s="229"/>
      <c r="M5" s="229"/>
      <c r="N5" s="229"/>
      <c r="O5" s="229"/>
      <c r="P5" s="229"/>
      <c r="Q5" s="230"/>
      <c r="S5" s="236" t="s">
        <v>102</v>
      </c>
      <c r="T5" s="237"/>
      <c r="U5" s="237"/>
      <c r="V5" s="237"/>
      <c r="W5" s="237"/>
      <c r="X5" s="237"/>
      <c r="Y5" s="238"/>
      <c r="Z5" s="234"/>
      <c r="AA5" s="228" t="s">
        <v>103</v>
      </c>
      <c r="AB5" s="229"/>
      <c r="AC5" s="229"/>
      <c r="AD5" s="229"/>
      <c r="AE5" s="229"/>
      <c r="AF5" s="229"/>
      <c r="AG5" s="230"/>
    </row>
    <row r="6" spans="2:33" ht="36.75" thickBot="1" x14ac:dyDescent="0.3">
      <c r="B6" s="55" t="s">
        <v>104</v>
      </c>
      <c r="C6" s="56" t="s">
        <v>105</v>
      </c>
      <c r="D6" s="57" t="s">
        <v>106</v>
      </c>
      <c r="E6" s="57" t="s">
        <v>107</v>
      </c>
      <c r="F6" s="57" t="s">
        <v>108</v>
      </c>
      <c r="G6" s="57" t="s">
        <v>109</v>
      </c>
      <c r="H6" s="57" t="s">
        <v>110</v>
      </c>
      <c r="I6" s="58" t="s">
        <v>111</v>
      </c>
      <c r="J6" s="234"/>
      <c r="K6" s="56" t="s">
        <v>105</v>
      </c>
      <c r="L6" s="57" t="s">
        <v>106</v>
      </c>
      <c r="M6" s="57" t="s">
        <v>107</v>
      </c>
      <c r="N6" s="57" t="s">
        <v>108</v>
      </c>
      <c r="O6" s="57" t="s">
        <v>109</v>
      </c>
      <c r="P6" s="57" t="s">
        <v>110</v>
      </c>
      <c r="Q6" s="58" t="s">
        <v>111</v>
      </c>
      <c r="S6" s="56" t="s">
        <v>105</v>
      </c>
      <c r="T6" s="57" t="s">
        <v>106</v>
      </c>
      <c r="U6" s="57" t="s">
        <v>107</v>
      </c>
      <c r="V6" s="57" t="s">
        <v>108</v>
      </c>
      <c r="W6" s="57" t="s">
        <v>109</v>
      </c>
      <c r="X6" s="57" t="s">
        <v>110</v>
      </c>
      <c r="Y6" s="58" t="s">
        <v>111</v>
      </c>
      <c r="Z6" s="234"/>
      <c r="AA6" s="56" t="s">
        <v>105</v>
      </c>
      <c r="AB6" s="57" t="s">
        <v>106</v>
      </c>
      <c r="AC6" s="57" t="s">
        <v>107</v>
      </c>
      <c r="AD6" s="57" t="s">
        <v>108</v>
      </c>
      <c r="AE6" s="57" t="s">
        <v>109</v>
      </c>
      <c r="AF6" s="57" t="s">
        <v>110</v>
      </c>
      <c r="AG6" s="58" t="s">
        <v>111</v>
      </c>
    </row>
    <row r="7" spans="2:33" x14ac:dyDescent="0.25">
      <c r="B7" s="59" t="s">
        <v>112</v>
      </c>
      <c r="C7" s="60">
        <v>0</v>
      </c>
      <c r="D7" s="61">
        <f>C7*D$4</f>
        <v>0</v>
      </c>
      <c r="E7" s="61">
        <f t="shared" ref="E7:I7" si="0">D7*E$4</f>
        <v>0</v>
      </c>
      <c r="F7" s="61">
        <f t="shared" si="0"/>
        <v>0</v>
      </c>
      <c r="G7" s="61">
        <f t="shared" si="0"/>
        <v>0</v>
      </c>
      <c r="H7" s="61">
        <f t="shared" si="0"/>
        <v>0</v>
      </c>
      <c r="I7" s="62">
        <f t="shared" si="0"/>
        <v>0</v>
      </c>
      <c r="J7" s="234"/>
      <c r="K7" s="60">
        <v>0</v>
      </c>
      <c r="L7" s="63">
        <f>K7*L$4</f>
        <v>0</v>
      </c>
      <c r="M7" s="61">
        <f t="shared" ref="M7:Q7" si="1">L7*M$4</f>
        <v>0</v>
      </c>
      <c r="N7" s="61">
        <f t="shared" si="1"/>
        <v>0</v>
      </c>
      <c r="O7" s="61">
        <f t="shared" si="1"/>
        <v>0</v>
      </c>
      <c r="P7" s="61">
        <f t="shared" si="1"/>
        <v>0</v>
      </c>
      <c r="Q7" s="62">
        <f t="shared" si="1"/>
        <v>0</v>
      </c>
      <c r="S7" s="60">
        <v>0</v>
      </c>
      <c r="T7" s="61">
        <f>S7*T$4</f>
        <v>0</v>
      </c>
      <c r="U7" s="61">
        <f t="shared" ref="U7:Y7" si="2">T7*U$4</f>
        <v>0</v>
      </c>
      <c r="V7" s="61">
        <f t="shared" si="2"/>
        <v>0</v>
      </c>
      <c r="W7" s="61">
        <f t="shared" si="2"/>
        <v>0</v>
      </c>
      <c r="X7" s="61">
        <f t="shared" si="2"/>
        <v>0</v>
      </c>
      <c r="Y7" s="62">
        <f t="shared" si="2"/>
        <v>0</v>
      </c>
      <c r="Z7" s="234"/>
      <c r="AA7" s="60">
        <v>0</v>
      </c>
      <c r="AB7" s="61">
        <f>AA7*AB$4</f>
        <v>0</v>
      </c>
      <c r="AC7" s="61">
        <f t="shared" ref="AC7:AG7" si="3">AB7*AC$4</f>
        <v>0</v>
      </c>
      <c r="AD7" s="61">
        <f t="shared" si="3"/>
        <v>0</v>
      </c>
      <c r="AE7" s="61">
        <f t="shared" si="3"/>
        <v>0</v>
      </c>
      <c r="AF7" s="61">
        <f t="shared" si="3"/>
        <v>0</v>
      </c>
      <c r="AG7" s="62">
        <f t="shared" si="3"/>
        <v>0</v>
      </c>
    </row>
    <row r="8" spans="2:33" x14ac:dyDescent="0.25">
      <c r="B8" s="64" t="s">
        <v>113</v>
      </c>
      <c r="C8" s="65">
        <v>0</v>
      </c>
      <c r="D8" s="66">
        <f t="shared" ref="D8:I23" si="4">C8*D$4</f>
        <v>0</v>
      </c>
      <c r="E8" s="66">
        <f t="shared" si="4"/>
        <v>0</v>
      </c>
      <c r="F8" s="66">
        <f t="shared" si="4"/>
        <v>0</v>
      </c>
      <c r="G8" s="66">
        <f t="shared" si="4"/>
        <v>0</v>
      </c>
      <c r="H8" s="66">
        <f t="shared" si="4"/>
        <v>0</v>
      </c>
      <c r="I8" s="67">
        <f t="shared" si="4"/>
        <v>0</v>
      </c>
      <c r="J8" s="234"/>
      <c r="K8" s="68">
        <v>0</v>
      </c>
      <c r="L8" s="69">
        <f t="shared" ref="L8:Q23" si="5">K8*L$4</f>
        <v>0</v>
      </c>
      <c r="M8" s="66">
        <f t="shared" si="5"/>
        <v>0</v>
      </c>
      <c r="N8" s="66">
        <f t="shared" si="5"/>
        <v>0</v>
      </c>
      <c r="O8" s="66">
        <f t="shared" si="5"/>
        <v>0</v>
      </c>
      <c r="P8" s="66">
        <f t="shared" si="5"/>
        <v>0</v>
      </c>
      <c r="Q8" s="67">
        <f t="shared" si="5"/>
        <v>0</v>
      </c>
      <c r="S8" s="68">
        <v>0</v>
      </c>
      <c r="T8" s="66">
        <f t="shared" ref="T8:Y23" si="6">S8*T$4</f>
        <v>0</v>
      </c>
      <c r="U8" s="66">
        <f t="shared" si="6"/>
        <v>0</v>
      </c>
      <c r="V8" s="66">
        <f t="shared" si="6"/>
        <v>0</v>
      </c>
      <c r="W8" s="66">
        <f t="shared" si="6"/>
        <v>0</v>
      </c>
      <c r="X8" s="66">
        <f t="shared" si="6"/>
        <v>0</v>
      </c>
      <c r="Y8" s="67">
        <f t="shared" si="6"/>
        <v>0</v>
      </c>
      <c r="Z8" s="234"/>
      <c r="AA8" s="68">
        <v>0</v>
      </c>
      <c r="AB8" s="66">
        <f t="shared" ref="AB8:AG23" si="7">AA8*AB$4</f>
        <v>0</v>
      </c>
      <c r="AC8" s="66">
        <f t="shared" si="7"/>
        <v>0</v>
      </c>
      <c r="AD8" s="66">
        <f t="shared" si="7"/>
        <v>0</v>
      </c>
      <c r="AE8" s="66">
        <f t="shared" si="7"/>
        <v>0</v>
      </c>
      <c r="AF8" s="66">
        <f t="shared" si="7"/>
        <v>0</v>
      </c>
      <c r="AG8" s="67">
        <f t="shared" si="7"/>
        <v>0</v>
      </c>
    </row>
    <row r="9" spans="2:33" x14ac:dyDescent="0.25">
      <c r="B9" s="64" t="s">
        <v>114</v>
      </c>
      <c r="C9" s="65">
        <v>0</v>
      </c>
      <c r="D9" s="66">
        <f t="shared" si="4"/>
        <v>0</v>
      </c>
      <c r="E9" s="66">
        <f t="shared" si="4"/>
        <v>0</v>
      </c>
      <c r="F9" s="66">
        <f t="shared" si="4"/>
        <v>0</v>
      </c>
      <c r="G9" s="66">
        <f t="shared" si="4"/>
        <v>0</v>
      </c>
      <c r="H9" s="66">
        <f t="shared" si="4"/>
        <v>0</v>
      </c>
      <c r="I9" s="67">
        <f t="shared" si="4"/>
        <v>0</v>
      </c>
      <c r="J9" s="234"/>
      <c r="K9" s="68">
        <v>0</v>
      </c>
      <c r="L9" s="69">
        <f t="shared" si="5"/>
        <v>0</v>
      </c>
      <c r="M9" s="66">
        <f t="shared" si="5"/>
        <v>0</v>
      </c>
      <c r="N9" s="66">
        <f t="shared" si="5"/>
        <v>0</v>
      </c>
      <c r="O9" s="66">
        <f t="shared" si="5"/>
        <v>0</v>
      </c>
      <c r="P9" s="66">
        <f t="shared" si="5"/>
        <v>0</v>
      </c>
      <c r="Q9" s="67">
        <f t="shared" si="5"/>
        <v>0</v>
      </c>
      <c r="S9" s="68">
        <v>0</v>
      </c>
      <c r="T9" s="66">
        <f t="shared" si="6"/>
        <v>0</v>
      </c>
      <c r="U9" s="66">
        <f t="shared" si="6"/>
        <v>0</v>
      </c>
      <c r="V9" s="66">
        <f t="shared" si="6"/>
        <v>0</v>
      </c>
      <c r="W9" s="66">
        <f t="shared" si="6"/>
        <v>0</v>
      </c>
      <c r="X9" s="66">
        <f t="shared" si="6"/>
        <v>0</v>
      </c>
      <c r="Y9" s="67">
        <f t="shared" si="6"/>
        <v>0</v>
      </c>
      <c r="Z9" s="234"/>
      <c r="AA9" s="68">
        <v>0</v>
      </c>
      <c r="AB9" s="66">
        <f t="shared" si="7"/>
        <v>0</v>
      </c>
      <c r="AC9" s="66">
        <f t="shared" si="7"/>
        <v>0</v>
      </c>
      <c r="AD9" s="66">
        <f t="shared" si="7"/>
        <v>0</v>
      </c>
      <c r="AE9" s="66">
        <f t="shared" si="7"/>
        <v>0</v>
      </c>
      <c r="AF9" s="66">
        <f t="shared" si="7"/>
        <v>0</v>
      </c>
      <c r="AG9" s="67">
        <f t="shared" si="7"/>
        <v>0</v>
      </c>
    </row>
    <row r="10" spans="2:33" ht="15.75" thickBot="1" x14ac:dyDescent="0.3">
      <c r="B10" s="70" t="s">
        <v>115</v>
      </c>
      <c r="C10" s="71">
        <v>0</v>
      </c>
      <c r="D10" s="72">
        <f t="shared" si="4"/>
        <v>0</v>
      </c>
      <c r="E10" s="72">
        <f t="shared" si="4"/>
        <v>0</v>
      </c>
      <c r="F10" s="72">
        <f t="shared" si="4"/>
        <v>0</v>
      </c>
      <c r="G10" s="72">
        <f t="shared" si="4"/>
        <v>0</v>
      </c>
      <c r="H10" s="72">
        <f t="shared" si="4"/>
        <v>0</v>
      </c>
      <c r="I10" s="73">
        <f t="shared" si="4"/>
        <v>0</v>
      </c>
      <c r="J10" s="234"/>
      <c r="K10" s="74">
        <v>0</v>
      </c>
      <c r="L10" s="75">
        <f t="shared" si="5"/>
        <v>0</v>
      </c>
      <c r="M10" s="72">
        <f t="shared" si="5"/>
        <v>0</v>
      </c>
      <c r="N10" s="72">
        <f t="shared" si="5"/>
        <v>0</v>
      </c>
      <c r="O10" s="72">
        <f t="shared" si="5"/>
        <v>0</v>
      </c>
      <c r="P10" s="72">
        <f t="shared" si="5"/>
        <v>0</v>
      </c>
      <c r="Q10" s="73">
        <f t="shared" si="5"/>
        <v>0</v>
      </c>
      <c r="S10" s="74">
        <v>0</v>
      </c>
      <c r="T10" s="72">
        <f t="shared" si="6"/>
        <v>0</v>
      </c>
      <c r="U10" s="72">
        <f t="shared" si="6"/>
        <v>0</v>
      </c>
      <c r="V10" s="72">
        <f t="shared" si="6"/>
        <v>0</v>
      </c>
      <c r="W10" s="72">
        <f t="shared" si="6"/>
        <v>0</v>
      </c>
      <c r="X10" s="72">
        <f t="shared" si="6"/>
        <v>0</v>
      </c>
      <c r="Y10" s="73">
        <f t="shared" si="6"/>
        <v>0</v>
      </c>
      <c r="Z10" s="234"/>
      <c r="AA10" s="74">
        <v>0</v>
      </c>
      <c r="AB10" s="72">
        <f t="shared" si="7"/>
        <v>0</v>
      </c>
      <c r="AC10" s="72">
        <f t="shared" si="7"/>
        <v>0</v>
      </c>
      <c r="AD10" s="72">
        <f t="shared" si="7"/>
        <v>0</v>
      </c>
      <c r="AE10" s="72">
        <f t="shared" si="7"/>
        <v>0</v>
      </c>
      <c r="AF10" s="72">
        <f t="shared" si="7"/>
        <v>0</v>
      </c>
      <c r="AG10" s="73">
        <f t="shared" si="7"/>
        <v>0</v>
      </c>
    </row>
    <row r="11" spans="2:33" x14ac:dyDescent="0.25">
      <c r="B11" s="76" t="s">
        <v>116</v>
      </c>
      <c r="C11" s="77">
        <v>0</v>
      </c>
      <c r="D11" s="78">
        <f t="shared" si="4"/>
        <v>0</v>
      </c>
      <c r="E11" s="78">
        <f t="shared" si="4"/>
        <v>0</v>
      </c>
      <c r="F11" s="78">
        <f t="shared" si="4"/>
        <v>0</v>
      </c>
      <c r="G11" s="78">
        <f t="shared" si="4"/>
        <v>0</v>
      </c>
      <c r="H11" s="78">
        <f t="shared" si="4"/>
        <v>0</v>
      </c>
      <c r="I11" s="78">
        <f t="shared" si="4"/>
        <v>0</v>
      </c>
      <c r="J11" s="234"/>
      <c r="K11" s="60">
        <v>0</v>
      </c>
      <c r="L11" s="61">
        <f t="shared" si="5"/>
        <v>0</v>
      </c>
      <c r="M11" s="61">
        <f t="shared" si="5"/>
        <v>0</v>
      </c>
      <c r="N11" s="61">
        <f t="shared" si="5"/>
        <v>0</v>
      </c>
      <c r="O11" s="61">
        <f t="shared" si="5"/>
        <v>0</v>
      </c>
      <c r="P11" s="61">
        <f t="shared" si="5"/>
        <v>0</v>
      </c>
      <c r="Q11" s="62">
        <f t="shared" si="5"/>
        <v>0</v>
      </c>
      <c r="S11" s="60">
        <v>0</v>
      </c>
      <c r="T11" s="61">
        <f t="shared" si="6"/>
        <v>0</v>
      </c>
      <c r="U11" s="61">
        <f t="shared" si="6"/>
        <v>0</v>
      </c>
      <c r="V11" s="61">
        <f t="shared" si="6"/>
        <v>0</v>
      </c>
      <c r="W11" s="61">
        <f t="shared" si="6"/>
        <v>0</v>
      </c>
      <c r="X11" s="61">
        <f t="shared" si="6"/>
        <v>0</v>
      </c>
      <c r="Y11" s="62">
        <f t="shared" si="6"/>
        <v>0</v>
      </c>
      <c r="Z11" s="234"/>
      <c r="AA11" s="60">
        <v>0</v>
      </c>
      <c r="AB11" s="61">
        <f t="shared" si="7"/>
        <v>0</v>
      </c>
      <c r="AC11" s="61">
        <f t="shared" si="7"/>
        <v>0</v>
      </c>
      <c r="AD11" s="61">
        <f t="shared" si="7"/>
        <v>0</v>
      </c>
      <c r="AE11" s="61">
        <f t="shared" si="7"/>
        <v>0</v>
      </c>
      <c r="AF11" s="61">
        <f t="shared" si="7"/>
        <v>0</v>
      </c>
      <c r="AG11" s="62">
        <f t="shared" si="7"/>
        <v>0</v>
      </c>
    </row>
    <row r="12" spans="2:33" x14ac:dyDescent="0.25">
      <c r="B12" s="79" t="s">
        <v>117</v>
      </c>
      <c r="C12" s="77">
        <v>0</v>
      </c>
      <c r="D12" s="66">
        <f t="shared" si="4"/>
        <v>0</v>
      </c>
      <c r="E12" s="66">
        <f t="shared" si="4"/>
        <v>0</v>
      </c>
      <c r="F12" s="66">
        <f t="shared" si="4"/>
        <v>0</v>
      </c>
      <c r="G12" s="66">
        <f t="shared" si="4"/>
        <v>0</v>
      </c>
      <c r="H12" s="66">
        <f t="shared" si="4"/>
        <v>0</v>
      </c>
      <c r="I12" s="66">
        <f t="shared" si="4"/>
        <v>0</v>
      </c>
      <c r="J12" s="234"/>
      <c r="K12" s="68">
        <v>0</v>
      </c>
      <c r="L12" s="66">
        <f t="shared" si="5"/>
        <v>0</v>
      </c>
      <c r="M12" s="66">
        <f t="shared" si="5"/>
        <v>0</v>
      </c>
      <c r="N12" s="66">
        <f t="shared" si="5"/>
        <v>0</v>
      </c>
      <c r="O12" s="66">
        <f t="shared" si="5"/>
        <v>0</v>
      </c>
      <c r="P12" s="66">
        <f t="shared" si="5"/>
        <v>0</v>
      </c>
      <c r="Q12" s="67">
        <f t="shared" si="5"/>
        <v>0</v>
      </c>
      <c r="S12" s="68">
        <v>0</v>
      </c>
      <c r="T12" s="66">
        <f t="shared" si="6"/>
        <v>0</v>
      </c>
      <c r="U12" s="66">
        <f t="shared" si="6"/>
        <v>0</v>
      </c>
      <c r="V12" s="66">
        <f t="shared" si="6"/>
        <v>0</v>
      </c>
      <c r="W12" s="66">
        <f t="shared" si="6"/>
        <v>0</v>
      </c>
      <c r="X12" s="66">
        <f t="shared" si="6"/>
        <v>0</v>
      </c>
      <c r="Y12" s="67">
        <f t="shared" si="6"/>
        <v>0</v>
      </c>
      <c r="Z12" s="234"/>
      <c r="AA12" s="68">
        <v>0</v>
      </c>
      <c r="AB12" s="66">
        <f t="shared" si="7"/>
        <v>0</v>
      </c>
      <c r="AC12" s="66">
        <f t="shared" si="7"/>
        <v>0</v>
      </c>
      <c r="AD12" s="66">
        <f t="shared" si="7"/>
        <v>0</v>
      </c>
      <c r="AE12" s="66">
        <f t="shared" si="7"/>
        <v>0</v>
      </c>
      <c r="AF12" s="66">
        <f t="shared" si="7"/>
        <v>0</v>
      </c>
      <c r="AG12" s="67">
        <f t="shared" si="7"/>
        <v>0</v>
      </c>
    </row>
    <row r="13" spans="2:33" x14ac:dyDescent="0.25">
      <c r="B13" s="79" t="s">
        <v>118</v>
      </c>
      <c r="C13" s="77">
        <v>0</v>
      </c>
      <c r="D13" s="66">
        <f t="shared" si="4"/>
        <v>0</v>
      </c>
      <c r="E13" s="66">
        <f t="shared" si="4"/>
        <v>0</v>
      </c>
      <c r="F13" s="66">
        <f t="shared" si="4"/>
        <v>0</v>
      </c>
      <c r="G13" s="66">
        <f t="shared" si="4"/>
        <v>0</v>
      </c>
      <c r="H13" s="66">
        <f t="shared" si="4"/>
        <v>0</v>
      </c>
      <c r="I13" s="66">
        <f t="shared" si="4"/>
        <v>0</v>
      </c>
      <c r="J13" s="234"/>
      <c r="K13" s="68">
        <v>0</v>
      </c>
      <c r="L13" s="66">
        <f t="shared" si="5"/>
        <v>0</v>
      </c>
      <c r="M13" s="66">
        <f t="shared" si="5"/>
        <v>0</v>
      </c>
      <c r="N13" s="66">
        <f t="shared" si="5"/>
        <v>0</v>
      </c>
      <c r="O13" s="66">
        <f t="shared" si="5"/>
        <v>0</v>
      </c>
      <c r="P13" s="66">
        <f t="shared" si="5"/>
        <v>0</v>
      </c>
      <c r="Q13" s="67">
        <f t="shared" si="5"/>
        <v>0</v>
      </c>
      <c r="S13" s="68">
        <v>0</v>
      </c>
      <c r="T13" s="66">
        <f t="shared" si="6"/>
        <v>0</v>
      </c>
      <c r="U13" s="66">
        <f t="shared" si="6"/>
        <v>0</v>
      </c>
      <c r="V13" s="66">
        <f t="shared" si="6"/>
        <v>0</v>
      </c>
      <c r="W13" s="66">
        <f t="shared" si="6"/>
        <v>0</v>
      </c>
      <c r="X13" s="66">
        <f t="shared" si="6"/>
        <v>0</v>
      </c>
      <c r="Y13" s="67">
        <f t="shared" si="6"/>
        <v>0</v>
      </c>
      <c r="Z13" s="234"/>
      <c r="AA13" s="68">
        <v>0</v>
      </c>
      <c r="AB13" s="66">
        <f t="shared" si="7"/>
        <v>0</v>
      </c>
      <c r="AC13" s="66">
        <f t="shared" si="7"/>
        <v>0</v>
      </c>
      <c r="AD13" s="66">
        <f t="shared" si="7"/>
        <v>0</v>
      </c>
      <c r="AE13" s="66">
        <f t="shared" si="7"/>
        <v>0</v>
      </c>
      <c r="AF13" s="66">
        <f t="shared" si="7"/>
        <v>0</v>
      </c>
      <c r="AG13" s="67">
        <f t="shared" si="7"/>
        <v>0</v>
      </c>
    </row>
    <row r="14" spans="2:33" ht="15.75" thickBot="1" x14ac:dyDescent="0.3">
      <c r="B14" s="80" t="s">
        <v>119</v>
      </c>
      <c r="C14" s="81">
        <v>0</v>
      </c>
      <c r="D14" s="82">
        <f t="shared" si="4"/>
        <v>0</v>
      </c>
      <c r="E14" s="82">
        <f t="shared" si="4"/>
        <v>0</v>
      </c>
      <c r="F14" s="82">
        <f t="shared" si="4"/>
        <v>0</v>
      </c>
      <c r="G14" s="82">
        <f t="shared" si="4"/>
        <v>0</v>
      </c>
      <c r="H14" s="82">
        <f t="shared" si="4"/>
        <v>0</v>
      </c>
      <c r="I14" s="82">
        <f t="shared" si="4"/>
        <v>0</v>
      </c>
      <c r="J14" s="234"/>
      <c r="K14" s="74">
        <v>0</v>
      </c>
      <c r="L14" s="72">
        <f t="shared" si="5"/>
        <v>0</v>
      </c>
      <c r="M14" s="72">
        <f t="shared" si="5"/>
        <v>0</v>
      </c>
      <c r="N14" s="72">
        <f t="shared" si="5"/>
        <v>0</v>
      </c>
      <c r="O14" s="72">
        <f t="shared" si="5"/>
        <v>0</v>
      </c>
      <c r="P14" s="72">
        <f t="shared" si="5"/>
        <v>0</v>
      </c>
      <c r="Q14" s="73">
        <f t="shared" si="5"/>
        <v>0</v>
      </c>
      <c r="S14" s="74">
        <v>0</v>
      </c>
      <c r="T14" s="72">
        <f t="shared" si="6"/>
        <v>0</v>
      </c>
      <c r="U14" s="72">
        <f t="shared" si="6"/>
        <v>0</v>
      </c>
      <c r="V14" s="72">
        <f t="shared" si="6"/>
        <v>0</v>
      </c>
      <c r="W14" s="72">
        <f t="shared" si="6"/>
        <v>0</v>
      </c>
      <c r="X14" s="72">
        <f t="shared" si="6"/>
        <v>0</v>
      </c>
      <c r="Y14" s="73">
        <f t="shared" si="6"/>
        <v>0</v>
      </c>
      <c r="Z14" s="234"/>
      <c r="AA14" s="74">
        <v>0</v>
      </c>
      <c r="AB14" s="72">
        <f t="shared" si="7"/>
        <v>0</v>
      </c>
      <c r="AC14" s="72">
        <f t="shared" si="7"/>
        <v>0</v>
      </c>
      <c r="AD14" s="72">
        <f t="shared" si="7"/>
        <v>0</v>
      </c>
      <c r="AE14" s="72">
        <f t="shared" si="7"/>
        <v>0</v>
      </c>
      <c r="AF14" s="72">
        <f t="shared" si="7"/>
        <v>0</v>
      </c>
      <c r="AG14" s="73">
        <f t="shared" si="7"/>
        <v>0</v>
      </c>
    </row>
    <row r="15" spans="2:33" x14ac:dyDescent="0.25">
      <c r="B15" s="64" t="s">
        <v>120</v>
      </c>
      <c r="C15" s="60">
        <v>0</v>
      </c>
      <c r="D15" s="61">
        <f t="shared" si="4"/>
        <v>0</v>
      </c>
      <c r="E15" s="61">
        <f t="shared" si="4"/>
        <v>0</v>
      </c>
      <c r="F15" s="61">
        <f t="shared" si="4"/>
        <v>0</v>
      </c>
      <c r="G15" s="61">
        <f t="shared" si="4"/>
        <v>0</v>
      </c>
      <c r="H15" s="61">
        <f t="shared" si="4"/>
        <v>0</v>
      </c>
      <c r="I15" s="62">
        <f t="shared" si="4"/>
        <v>0</v>
      </c>
      <c r="J15" s="234"/>
      <c r="K15" s="60">
        <v>0</v>
      </c>
      <c r="L15" s="63">
        <f t="shared" si="5"/>
        <v>0</v>
      </c>
      <c r="M15" s="61">
        <f t="shared" si="5"/>
        <v>0</v>
      </c>
      <c r="N15" s="61">
        <f t="shared" si="5"/>
        <v>0</v>
      </c>
      <c r="O15" s="61">
        <f t="shared" si="5"/>
        <v>0</v>
      </c>
      <c r="P15" s="61">
        <f t="shared" si="5"/>
        <v>0</v>
      </c>
      <c r="Q15" s="62">
        <f t="shared" si="5"/>
        <v>0</v>
      </c>
      <c r="S15" s="60">
        <v>0</v>
      </c>
      <c r="T15" s="61">
        <f t="shared" si="6"/>
        <v>0</v>
      </c>
      <c r="U15" s="61">
        <f t="shared" si="6"/>
        <v>0</v>
      </c>
      <c r="V15" s="61">
        <f t="shared" si="6"/>
        <v>0</v>
      </c>
      <c r="W15" s="61">
        <f t="shared" si="6"/>
        <v>0</v>
      </c>
      <c r="X15" s="61">
        <f t="shared" si="6"/>
        <v>0</v>
      </c>
      <c r="Y15" s="62">
        <f t="shared" si="6"/>
        <v>0</v>
      </c>
      <c r="Z15" s="234"/>
      <c r="AA15" s="60">
        <v>0</v>
      </c>
      <c r="AB15" s="61">
        <f t="shared" si="7"/>
        <v>0</v>
      </c>
      <c r="AC15" s="61">
        <f t="shared" si="7"/>
        <v>0</v>
      </c>
      <c r="AD15" s="61">
        <f t="shared" si="7"/>
        <v>0</v>
      </c>
      <c r="AE15" s="61">
        <f t="shared" si="7"/>
        <v>0</v>
      </c>
      <c r="AF15" s="61">
        <f t="shared" si="7"/>
        <v>0</v>
      </c>
      <c r="AG15" s="62">
        <f t="shared" si="7"/>
        <v>0</v>
      </c>
    </row>
    <row r="16" spans="2:33" x14ac:dyDescent="0.25">
      <c r="B16" s="79" t="s">
        <v>121</v>
      </c>
      <c r="C16" s="65">
        <v>0</v>
      </c>
      <c r="D16" s="66">
        <f t="shared" si="4"/>
        <v>0</v>
      </c>
      <c r="E16" s="66">
        <f t="shared" si="4"/>
        <v>0</v>
      </c>
      <c r="F16" s="66">
        <f t="shared" si="4"/>
        <v>0</v>
      </c>
      <c r="G16" s="66">
        <f t="shared" si="4"/>
        <v>0</v>
      </c>
      <c r="H16" s="66">
        <f t="shared" si="4"/>
        <v>0</v>
      </c>
      <c r="I16" s="67">
        <f t="shared" si="4"/>
        <v>0</v>
      </c>
      <c r="J16" s="234"/>
      <c r="K16" s="68">
        <v>0</v>
      </c>
      <c r="L16" s="69">
        <f t="shared" si="5"/>
        <v>0</v>
      </c>
      <c r="M16" s="66">
        <f t="shared" si="5"/>
        <v>0</v>
      </c>
      <c r="N16" s="66">
        <f t="shared" si="5"/>
        <v>0</v>
      </c>
      <c r="O16" s="66">
        <f t="shared" si="5"/>
        <v>0</v>
      </c>
      <c r="P16" s="66">
        <f t="shared" si="5"/>
        <v>0</v>
      </c>
      <c r="Q16" s="67">
        <f t="shared" si="5"/>
        <v>0</v>
      </c>
      <c r="S16" s="68">
        <v>0</v>
      </c>
      <c r="T16" s="66">
        <f t="shared" si="6"/>
        <v>0</v>
      </c>
      <c r="U16" s="66">
        <f t="shared" si="6"/>
        <v>0</v>
      </c>
      <c r="V16" s="66">
        <f t="shared" si="6"/>
        <v>0</v>
      </c>
      <c r="W16" s="66">
        <f t="shared" si="6"/>
        <v>0</v>
      </c>
      <c r="X16" s="66">
        <f t="shared" si="6"/>
        <v>0</v>
      </c>
      <c r="Y16" s="67">
        <f t="shared" si="6"/>
        <v>0</v>
      </c>
      <c r="Z16" s="234"/>
      <c r="AA16" s="68">
        <v>0</v>
      </c>
      <c r="AB16" s="66">
        <f t="shared" si="7"/>
        <v>0</v>
      </c>
      <c r="AC16" s="66">
        <f t="shared" si="7"/>
        <v>0</v>
      </c>
      <c r="AD16" s="66">
        <f t="shared" si="7"/>
        <v>0</v>
      </c>
      <c r="AE16" s="66">
        <f t="shared" si="7"/>
        <v>0</v>
      </c>
      <c r="AF16" s="66">
        <f t="shared" si="7"/>
        <v>0</v>
      </c>
      <c r="AG16" s="67">
        <f t="shared" si="7"/>
        <v>0</v>
      </c>
    </row>
    <row r="17" spans="2:33" x14ac:dyDescent="0.25">
      <c r="B17" s="79" t="s">
        <v>122</v>
      </c>
      <c r="C17" s="65">
        <v>0</v>
      </c>
      <c r="D17" s="66">
        <f t="shared" si="4"/>
        <v>0</v>
      </c>
      <c r="E17" s="66">
        <f t="shared" si="4"/>
        <v>0</v>
      </c>
      <c r="F17" s="66">
        <f t="shared" si="4"/>
        <v>0</v>
      </c>
      <c r="G17" s="66">
        <f t="shared" si="4"/>
        <v>0</v>
      </c>
      <c r="H17" s="66">
        <f t="shared" si="4"/>
        <v>0</v>
      </c>
      <c r="I17" s="67">
        <f t="shared" si="4"/>
        <v>0</v>
      </c>
      <c r="J17" s="234"/>
      <c r="K17" s="68">
        <v>0</v>
      </c>
      <c r="L17" s="69">
        <f t="shared" si="5"/>
        <v>0</v>
      </c>
      <c r="M17" s="66">
        <f t="shared" si="5"/>
        <v>0</v>
      </c>
      <c r="N17" s="66">
        <f t="shared" si="5"/>
        <v>0</v>
      </c>
      <c r="O17" s="66">
        <f t="shared" si="5"/>
        <v>0</v>
      </c>
      <c r="P17" s="66">
        <f t="shared" si="5"/>
        <v>0</v>
      </c>
      <c r="Q17" s="67">
        <f t="shared" si="5"/>
        <v>0</v>
      </c>
      <c r="S17" s="68">
        <v>0</v>
      </c>
      <c r="T17" s="66">
        <f t="shared" si="6"/>
        <v>0</v>
      </c>
      <c r="U17" s="66">
        <f t="shared" si="6"/>
        <v>0</v>
      </c>
      <c r="V17" s="66">
        <f t="shared" si="6"/>
        <v>0</v>
      </c>
      <c r="W17" s="66">
        <f t="shared" si="6"/>
        <v>0</v>
      </c>
      <c r="X17" s="66">
        <f t="shared" si="6"/>
        <v>0</v>
      </c>
      <c r="Y17" s="67">
        <f t="shared" si="6"/>
        <v>0</v>
      </c>
      <c r="Z17" s="234"/>
      <c r="AA17" s="68">
        <v>0</v>
      </c>
      <c r="AB17" s="66">
        <f t="shared" si="7"/>
        <v>0</v>
      </c>
      <c r="AC17" s="66">
        <f t="shared" si="7"/>
        <v>0</v>
      </c>
      <c r="AD17" s="66">
        <f t="shared" si="7"/>
        <v>0</v>
      </c>
      <c r="AE17" s="66">
        <f t="shared" si="7"/>
        <v>0</v>
      </c>
      <c r="AF17" s="66">
        <f t="shared" si="7"/>
        <v>0</v>
      </c>
      <c r="AG17" s="67">
        <f t="shared" si="7"/>
        <v>0</v>
      </c>
    </row>
    <row r="18" spans="2:33" ht="15.75" thickBot="1" x14ac:dyDescent="0.3">
      <c r="B18" s="83" t="s">
        <v>123</v>
      </c>
      <c r="C18" s="71">
        <v>0</v>
      </c>
      <c r="D18" s="72">
        <f t="shared" si="4"/>
        <v>0</v>
      </c>
      <c r="E18" s="72">
        <f t="shared" si="4"/>
        <v>0</v>
      </c>
      <c r="F18" s="72">
        <f t="shared" si="4"/>
        <v>0</v>
      </c>
      <c r="G18" s="72">
        <f t="shared" si="4"/>
        <v>0</v>
      </c>
      <c r="H18" s="72">
        <f t="shared" si="4"/>
        <v>0</v>
      </c>
      <c r="I18" s="73">
        <f t="shared" si="4"/>
        <v>0</v>
      </c>
      <c r="J18" s="234"/>
      <c r="K18" s="74">
        <v>0</v>
      </c>
      <c r="L18" s="75">
        <f t="shared" si="5"/>
        <v>0</v>
      </c>
      <c r="M18" s="72">
        <f t="shared" si="5"/>
        <v>0</v>
      </c>
      <c r="N18" s="72">
        <f t="shared" si="5"/>
        <v>0</v>
      </c>
      <c r="O18" s="72">
        <f t="shared" si="5"/>
        <v>0</v>
      </c>
      <c r="P18" s="72">
        <f t="shared" si="5"/>
        <v>0</v>
      </c>
      <c r="Q18" s="73">
        <f t="shared" si="5"/>
        <v>0</v>
      </c>
      <c r="S18" s="74">
        <v>0</v>
      </c>
      <c r="T18" s="72">
        <f t="shared" si="6"/>
        <v>0</v>
      </c>
      <c r="U18" s="72">
        <f t="shared" si="6"/>
        <v>0</v>
      </c>
      <c r="V18" s="72">
        <f t="shared" si="6"/>
        <v>0</v>
      </c>
      <c r="W18" s="72">
        <f t="shared" si="6"/>
        <v>0</v>
      </c>
      <c r="X18" s="72">
        <f t="shared" si="6"/>
        <v>0</v>
      </c>
      <c r="Y18" s="73">
        <f t="shared" si="6"/>
        <v>0</v>
      </c>
      <c r="Z18" s="234"/>
      <c r="AA18" s="74">
        <v>0</v>
      </c>
      <c r="AB18" s="72">
        <f t="shared" si="7"/>
        <v>0</v>
      </c>
      <c r="AC18" s="72">
        <f t="shared" si="7"/>
        <v>0</v>
      </c>
      <c r="AD18" s="72">
        <f t="shared" si="7"/>
        <v>0</v>
      </c>
      <c r="AE18" s="72">
        <f t="shared" si="7"/>
        <v>0</v>
      </c>
      <c r="AF18" s="72">
        <f t="shared" si="7"/>
        <v>0</v>
      </c>
      <c r="AG18" s="73">
        <f t="shared" si="7"/>
        <v>0</v>
      </c>
    </row>
    <row r="19" spans="2:33" x14ac:dyDescent="0.25">
      <c r="B19" s="84" t="s">
        <v>124</v>
      </c>
      <c r="C19" s="77">
        <v>0</v>
      </c>
      <c r="D19" s="78">
        <f t="shared" si="4"/>
        <v>0</v>
      </c>
      <c r="E19" s="78">
        <f t="shared" si="4"/>
        <v>0</v>
      </c>
      <c r="F19" s="78">
        <f t="shared" si="4"/>
        <v>0</v>
      </c>
      <c r="G19" s="78">
        <f t="shared" si="4"/>
        <v>0</v>
      </c>
      <c r="H19" s="78">
        <f t="shared" si="4"/>
        <v>0</v>
      </c>
      <c r="I19" s="78">
        <f t="shared" si="4"/>
        <v>0</v>
      </c>
      <c r="J19" s="234"/>
      <c r="K19" s="60">
        <v>0</v>
      </c>
      <c r="L19" s="63">
        <f t="shared" si="5"/>
        <v>0</v>
      </c>
      <c r="M19" s="61">
        <f t="shared" si="5"/>
        <v>0</v>
      </c>
      <c r="N19" s="61">
        <f t="shared" si="5"/>
        <v>0</v>
      </c>
      <c r="O19" s="61">
        <f t="shared" si="5"/>
        <v>0</v>
      </c>
      <c r="P19" s="61">
        <f t="shared" si="5"/>
        <v>0</v>
      </c>
      <c r="Q19" s="62">
        <f t="shared" si="5"/>
        <v>0</v>
      </c>
      <c r="S19" s="60">
        <v>0</v>
      </c>
      <c r="T19" s="61">
        <f t="shared" si="6"/>
        <v>0</v>
      </c>
      <c r="U19" s="61">
        <f t="shared" si="6"/>
        <v>0</v>
      </c>
      <c r="V19" s="61">
        <f t="shared" si="6"/>
        <v>0</v>
      </c>
      <c r="W19" s="61">
        <f t="shared" si="6"/>
        <v>0</v>
      </c>
      <c r="X19" s="61">
        <f t="shared" si="6"/>
        <v>0</v>
      </c>
      <c r="Y19" s="62">
        <f t="shared" si="6"/>
        <v>0</v>
      </c>
      <c r="Z19" s="234"/>
      <c r="AA19" s="60">
        <v>0</v>
      </c>
      <c r="AB19" s="61">
        <f t="shared" si="7"/>
        <v>0</v>
      </c>
      <c r="AC19" s="61">
        <f t="shared" si="7"/>
        <v>0</v>
      </c>
      <c r="AD19" s="61">
        <f t="shared" si="7"/>
        <v>0</v>
      </c>
      <c r="AE19" s="61">
        <f t="shared" si="7"/>
        <v>0</v>
      </c>
      <c r="AF19" s="61">
        <f t="shared" si="7"/>
        <v>0</v>
      </c>
      <c r="AG19" s="62">
        <f t="shared" si="7"/>
        <v>0</v>
      </c>
    </row>
    <row r="20" spans="2:33" x14ac:dyDescent="0.25">
      <c r="B20" s="79" t="s">
        <v>125</v>
      </c>
      <c r="C20" s="77">
        <v>0</v>
      </c>
      <c r="D20" s="66">
        <f t="shared" si="4"/>
        <v>0</v>
      </c>
      <c r="E20" s="66">
        <f t="shared" si="4"/>
        <v>0</v>
      </c>
      <c r="F20" s="66">
        <f t="shared" si="4"/>
        <v>0</v>
      </c>
      <c r="G20" s="66">
        <f t="shared" si="4"/>
        <v>0</v>
      </c>
      <c r="H20" s="66">
        <f t="shared" si="4"/>
        <v>0</v>
      </c>
      <c r="I20" s="66">
        <f t="shared" si="4"/>
        <v>0</v>
      </c>
      <c r="J20" s="234"/>
      <c r="K20" s="68">
        <v>0</v>
      </c>
      <c r="L20" s="69">
        <f t="shared" si="5"/>
        <v>0</v>
      </c>
      <c r="M20" s="66">
        <f t="shared" si="5"/>
        <v>0</v>
      </c>
      <c r="N20" s="66">
        <f t="shared" si="5"/>
        <v>0</v>
      </c>
      <c r="O20" s="66">
        <f t="shared" si="5"/>
        <v>0</v>
      </c>
      <c r="P20" s="66">
        <f t="shared" si="5"/>
        <v>0</v>
      </c>
      <c r="Q20" s="67">
        <f t="shared" si="5"/>
        <v>0</v>
      </c>
      <c r="S20" s="68">
        <v>0</v>
      </c>
      <c r="T20" s="66">
        <f t="shared" si="6"/>
        <v>0</v>
      </c>
      <c r="U20" s="66">
        <f t="shared" si="6"/>
        <v>0</v>
      </c>
      <c r="V20" s="66">
        <f t="shared" si="6"/>
        <v>0</v>
      </c>
      <c r="W20" s="66">
        <f t="shared" si="6"/>
        <v>0</v>
      </c>
      <c r="X20" s="66">
        <f t="shared" si="6"/>
        <v>0</v>
      </c>
      <c r="Y20" s="67">
        <f t="shared" si="6"/>
        <v>0</v>
      </c>
      <c r="Z20" s="234"/>
      <c r="AA20" s="68">
        <v>0</v>
      </c>
      <c r="AB20" s="66">
        <f t="shared" si="7"/>
        <v>0</v>
      </c>
      <c r="AC20" s="66">
        <f t="shared" si="7"/>
        <v>0</v>
      </c>
      <c r="AD20" s="66">
        <f t="shared" si="7"/>
        <v>0</v>
      </c>
      <c r="AE20" s="66">
        <f t="shared" si="7"/>
        <v>0</v>
      </c>
      <c r="AF20" s="66">
        <f t="shared" si="7"/>
        <v>0</v>
      </c>
      <c r="AG20" s="67">
        <f t="shared" si="7"/>
        <v>0</v>
      </c>
    </row>
    <row r="21" spans="2:33" x14ac:dyDescent="0.25">
      <c r="B21" s="79" t="s">
        <v>126</v>
      </c>
      <c r="C21" s="77">
        <v>0</v>
      </c>
      <c r="D21" s="66">
        <f t="shared" si="4"/>
        <v>0</v>
      </c>
      <c r="E21" s="66">
        <f t="shared" si="4"/>
        <v>0</v>
      </c>
      <c r="F21" s="66">
        <f t="shared" si="4"/>
        <v>0</v>
      </c>
      <c r="G21" s="66">
        <f t="shared" si="4"/>
        <v>0</v>
      </c>
      <c r="H21" s="66">
        <f t="shared" si="4"/>
        <v>0</v>
      </c>
      <c r="I21" s="66">
        <f t="shared" si="4"/>
        <v>0</v>
      </c>
      <c r="J21" s="234"/>
      <c r="K21" s="68">
        <v>0</v>
      </c>
      <c r="L21" s="69">
        <f t="shared" si="5"/>
        <v>0</v>
      </c>
      <c r="M21" s="66">
        <f t="shared" si="5"/>
        <v>0</v>
      </c>
      <c r="N21" s="66">
        <f t="shared" si="5"/>
        <v>0</v>
      </c>
      <c r="O21" s="66">
        <f t="shared" si="5"/>
        <v>0</v>
      </c>
      <c r="P21" s="66">
        <f t="shared" si="5"/>
        <v>0</v>
      </c>
      <c r="Q21" s="67">
        <f t="shared" si="5"/>
        <v>0</v>
      </c>
      <c r="S21" s="68">
        <v>0</v>
      </c>
      <c r="T21" s="66">
        <f t="shared" si="6"/>
        <v>0</v>
      </c>
      <c r="U21" s="66">
        <f t="shared" si="6"/>
        <v>0</v>
      </c>
      <c r="V21" s="66">
        <f t="shared" si="6"/>
        <v>0</v>
      </c>
      <c r="W21" s="66">
        <f t="shared" si="6"/>
        <v>0</v>
      </c>
      <c r="X21" s="66">
        <f t="shared" si="6"/>
        <v>0</v>
      </c>
      <c r="Y21" s="67">
        <f t="shared" si="6"/>
        <v>0</v>
      </c>
      <c r="Z21" s="234"/>
      <c r="AA21" s="68">
        <v>0</v>
      </c>
      <c r="AB21" s="66">
        <f t="shared" si="7"/>
        <v>0</v>
      </c>
      <c r="AC21" s="66">
        <f t="shared" si="7"/>
        <v>0</v>
      </c>
      <c r="AD21" s="66">
        <f t="shared" si="7"/>
        <v>0</v>
      </c>
      <c r="AE21" s="66">
        <f t="shared" si="7"/>
        <v>0</v>
      </c>
      <c r="AF21" s="66">
        <f t="shared" si="7"/>
        <v>0</v>
      </c>
      <c r="AG21" s="67">
        <f t="shared" si="7"/>
        <v>0</v>
      </c>
    </row>
    <row r="22" spans="2:33" ht="15.75" thickBot="1" x14ac:dyDescent="0.3">
      <c r="B22" s="80" t="s">
        <v>127</v>
      </c>
      <c r="C22" s="81">
        <v>0</v>
      </c>
      <c r="D22" s="82">
        <f t="shared" si="4"/>
        <v>0</v>
      </c>
      <c r="E22" s="82">
        <f t="shared" si="4"/>
        <v>0</v>
      </c>
      <c r="F22" s="82">
        <f t="shared" si="4"/>
        <v>0</v>
      </c>
      <c r="G22" s="82">
        <f t="shared" si="4"/>
        <v>0</v>
      </c>
      <c r="H22" s="82">
        <f t="shared" si="4"/>
        <v>0</v>
      </c>
      <c r="I22" s="82">
        <f t="shared" si="4"/>
        <v>0</v>
      </c>
      <c r="J22" s="234"/>
      <c r="K22" s="74">
        <v>0</v>
      </c>
      <c r="L22" s="75">
        <f t="shared" si="5"/>
        <v>0</v>
      </c>
      <c r="M22" s="72">
        <f t="shared" si="5"/>
        <v>0</v>
      </c>
      <c r="N22" s="72">
        <f t="shared" si="5"/>
        <v>0</v>
      </c>
      <c r="O22" s="72">
        <f t="shared" si="5"/>
        <v>0</v>
      </c>
      <c r="P22" s="72">
        <f t="shared" si="5"/>
        <v>0</v>
      </c>
      <c r="Q22" s="73">
        <f t="shared" si="5"/>
        <v>0</v>
      </c>
      <c r="S22" s="74">
        <v>0</v>
      </c>
      <c r="T22" s="72">
        <f t="shared" si="6"/>
        <v>0</v>
      </c>
      <c r="U22" s="72">
        <f t="shared" si="6"/>
        <v>0</v>
      </c>
      <c r="V22" s="72">
        <f t="shared" si="6"/>
        <v>0</v>
      </c>
      <c r="W22" s="72">
        <f t="shared" si="6"/>
        <v>0</v>
      </c>
      <c r="X22" s="72">
        <f t="shared" si="6"/>
        <v>0</v>
      </c>
      <c r="Y22" s="73">
        <f t="shared" si="6"/>
        <v>0</v>
      </c>
      <c r="Z22" s="234"/>
      <c r="AA22" s="74">
        <v>0</v>
      </c>
      <c r="AB22" s="72">
        <f t="shared" si="7"/>
        <v>0</v>
      </c>
      <c r="AC22" s="72">
        <f t="shared" si="7"/>
        <v>0</v>
      </c>
      <c r="AD22" s="72">
        <f t="shared" si="7"/>
        <v>0</v>
      </c>
      <c r="AE22" s="72">
        <f t="shared" si="7"/>
        <v>0</v>
      </c>
      <c r="AF22" s="72">
        <f t="shared" si="7"/>
        <v>0</v>
      </c>
      <c r="AG22" s="73">
        <f t="shared" si="7"/>
        <v>0</v>
      </c>
    </row>
    <row r="23" spans="2:33" x14ac:dyDescent="0.25">
      <c r="B23" s="64" t="s">
        <v>128</v>
      </c>
      <c r="C23" s="60">
        <v>0</v>
      </c>
      <c r="D23" s="61">
        <f t="shared" si="4"/>
        <v>0</v>
      </c>
      <c r="E23" s="61">
        <f t="shared" si="4"/>
        <v>0</v>
      </c>
      <c r="F23" s="61">
        <f t="shared" si="4"/>
        <v>0</v>
      </c>
      <c r="G23" s="61">
        <f t="shared" si="4"/>
        <v>0</v>
      </c>
      <c r="H23" s="61">
        <f t="shared" si="4"/>
        <v>0</v>
      </c>
      <c r="I23" s="62">
        <f t="shared" si="4"/>
        <v>0</v>
      </c>
      <c r="J23" s="234"/>
      <c r="K23" s="60">
        <v>0</v>
      </c>
      <c r="L23" s="63">
        <f t="shared" si="5"/>
        <v>0</v>
      </c>
      <c r="M23" s="61">
        <f t="shared" si="5"/>
        <v>0</v>
      </c>
      <c r="N23" s="61">
        <f t="shared" si="5"/>
        <v>0</v>
      </c>
      <c r="O23" s="61">
        <f t="shared" si="5"/>
        <v>0</v>
      </c>
      <c r="P23" s="61">
        <f t="shared" si="5"/>
        <v>0</v>
      </c>
      <c r="Q23" s="62">
        <f t="shared" si="5"/>
        <v>0</v>
      </c>
      <c r="S23" s="60">
        <v>0</v>
      </c>
      <c r="T23" s="61">
        <f t="shared" si="6"/>
        <v>0</v>
      </c>
      <c r="U23" s="61">
        <f t="shared" si="6"/>
        <v>0</v>
      </c>
      <c r="V23" s="61">
        <f t="shared" si="6"/>
        <v>0</v>
      </c>
      <c r="W23" s="61">
        <f t="shared" si="6"/>
        <v>0</v>
      </c>
      <c r="X23" s="61">
        <f t="shared" si="6"/>
        <v>0</v>
      </c>
      <c r="Y23" s="62">
        <f t="shared" si="6"/>
        <v>0</v>
      </c>
      <c r="Z23" s="234"/>
      <c r="AA23" s="60">
        <v>0</v>
      </c>
      <c r="AB23" s="61">
        <f t="shared" si="7"/>
        <v>0</v>
      </c>
      <c r="AC23" s="61">
        <f t="shared" si="7"/>
        <v>0</v>
      </c>
      <c r="AD23" s="61">
        <f t="shared" si="7"/>
        <v>0</v>
      </c>
      <c r="AE23" s="61">
        <f t="shared" si="7"/>
        <v>0</v>
      </c>
      <c r="AF23" s="61">
        <f t="shared" si="7"/>
        <v>0</v>
      </c>
      <c r="AG23" s="62">
        <f t="shared" si="7"/>
        <v>0</v>
      </c>
    </row>
    <row r="24" spans="2:33" x14ac:dyDescent="0.25">
      <c r="B24" s="79" t="s">
        <v>129</v>
      </c>
      <c r="C24" s="65">
        <v>0</v>
      </c>
      <c r="D24" s="66">
        <f t="shared" ref="D24:I39" si="8">C24*D$4</f>
        <v>0</v>
      </c>
      <c r="E24" s="66">
        <f t="shared" si="8"/>
        <v>0</v>
      </c>
      <c r="F24" s="66">
        <f t="shared" si="8"/>
        <v>0</v>
      </c>
      <c r="G24" s="66">
        <f t="shared" si="8"/>
        <v>0</v>
      </c>
      <c r="H24" s="66">
        <f t="shared" si="8"/>
        <v>0</v>
      </c>
      <c r="I24" s="67">
        <f t="shared" si="8"/>
        <v>0</v>
      </c>
      <c r="J24" s="234"/>
      <c r="K24" s="68">
        <v>0</v>
      </c>
      <c r="L24" s="69">
        <f t="shared" ref="L24:Q39" si="9">K24*L$4</f>
        <v>0</v>
      </c>
      <c r="M24" s="66">
        <f t="shared" si="9"/>
        <v>0</v>
      </c>
      <c r="N24" s="66">
        <f t="shared" si="9"/>
        <v>0</v>
      </c>
      <c r="O24" s="66">
        <f t="shared" si="9"/>
        <v>0</v>
      </c>
      <c r="P24" s="66">
        <f t="shared" si="9"/>
        <v>0</v>
      </c>
      <c r="Q24" s="67">
        <f t="shared" si="9"/>
        <v>0</v>
      </c>
      <c r="S24" s="68">
        <v>0</v>
      </c>
      <c r="T24" s="66">
        <f t="shared" ref="T24:Y39" si="10">S24*T$4</f>
        <v>0</v>
      </c>
      <c r="U24" s="66">
        <f t="shared" si="10"/>
        <v>0</v>
      </c>
      <c r="V24" s="66">
        <f t="shared" si="10"/>
        <v>0</v>
      </c>
      <c r="W24" s="66">
        <f t="shared" si="10"/>
        <v>0</v>
      </c>
      <c r="X24" s="66">
        <f t="shared" si="10"/>
        <v>0</v>
      </c>
      <c r="Y24" s="67">
        <f t="shared" si="10"/>
        <v>0</v>
      </c>
      <c r="Z24" s="234"/>
      <c r="AA24" s="68">
        <v>0</v>
      </c>
      <c r="AB24" s="66">
        <f t="shared" ref="AB24:AG39" si="11">AA24*AB$4</f>
        <v>0</v>
      </c>
      <c r="AC24" s="66">
        <f t="shared" si="11"/>
        <v>0</v>
      </c>
      <c r="AD24" s="66">
        <f t="shared" si="11"/>
        <v>0</v>
      </c>
      <c r="AE24" s="66">
        <f t="shared" si="11"/>
        <v>0</v>
      </c>
      <c r="AF24" s="66">
        <f t="shared" si="11"/>
        <v>0</v>
      </c>
      <c r="AG24" s="67">
        <f t="shared" si="11"/>
        <v>0</v>
      </c>
    </row>
    <row r="25" spans="2:33" x14ac:dyDescent="0.25">
      <c r="B25" s="79" t="s">
        <v>130</v>
      </c>
      <c r="C25" s="65">
        <v>0</v>
      </c>
      <c r="D25" s="66">
        <f t="shared" si="8"/>
        <v>0</v>
      </c>
      <c r="E25" s="66">
        <f t="shared" si="8"/>
        <v>0</v>
      </c>
      <c r="F25" s="66">
        <f t="shared" si="8"/>
        <v>0</v>
      </c>
      <c r="G25" s="66">
        <f t="shared" si="8"/>
        <v>0</v>
      </c>
      <c r="H25" s="66">
        <f t="shared" si="8"/>
        <v>0</v>
      </c>
      <c r="I25" s="67">
        <f t="shared" si="8"/>
        <v>0</v>
      </c>
      <c r="J25" s="234"/>
      <c r="K25" s="68">
        <v>0</v>
      </c>
      <c r="L25" s="69">
        <f t="shared" si="9"/>
        <v>0</v>
      </c>
      <c r="M25" s="66">
        <f t="shared" si="9"/>
        <v>0</v>
      </c>
      <c r="N25" s="66">
        <f t="shared" si="9"/>
        <v>0</v>
      </c>
      <c r="O25" s="66">
        <f t="shared" si="9"/>
        <v>0</v>
      </c>
      <c r="P25" s="66">
        <f t="shared" si="9"/>
        <v>0</v>
      </c>
      <c r="Q25" s="67">
        <f t="shared" si="9"/>
        <v>0</v>
      </c>
      <c r="S25" s="68">
        <v>0</v>
      </c>
      <c r="T25" s="66">
        <f t="shared" si="10"/>
        <v>0</v>
      </c>
      <c r="U25" s="66">
        <f t="shared" si="10"/>
        <v>0</v>
      </c>
      <c r="V25" s="66">
        <f t="shared" si="10"/>
        <v>0</v>
      </c>
      <c r="W25" s="66">
        <f t="shared" si="10"/>
        <v>0</v>
      </c>
      <c r="X25" s="66">
        <f t="shared" si="10"/>
        <v>0</v>
      </c>
      <c r="Y25" s="67">
        <f t="shared" si="10"/>
        <v>0</v>
      </c>
      <c r="Z25" s="234"/>
      <c r="AA25" s="68">
        <v>0</v>
      </c>
      <c r="AB25" s="66">
        <f t="shared" si="11"/>
        <v>0</v>
      </c>
      <c r="AC25" s="66">
        <f t="shared" si="11"/>
        <v>0</v>
      </c>
      <c r="AD25" s="66">
        <f t="shared" si="11"/>
        <v>0</v>
      </c>
      <c r="AE25" s="66">
        <f t="shared" si="11"/>
        <v>0</v>
      </c>
      <c r="AF25" s="66">
        <f t="shared" si="11"/>
        <v>0</v>
      </c>
      <c r="AG25" s="67">
        <f t="shared" si="11"/>
        <v>0</v>
      </c>
    </row>
    <row r="26" spans="2:33" ht="15.75" thickBot="1" x14ac:dyDescent="0.3">
      <c r="B26" s="83" t="s">
        <v>131</v>
      </c>
      <c r="C26" s="71">
        <v>0</v>
      </c>
      <c r="D26" s="72">
        <f t="shared" si="8"/>
        <v>0</v>
      </c>
      <c r="E26" s="72">
        <f t="shared" si="8"/>
        <v>0</v>
      </c>
      <c r="F26" s="72">
        <f t="shared" si="8"/>
        <v>0</v>
      </c>
      <c r="G26" s="72">
        <f t="shared" si="8"/>
        <v>0</v>
      </c>
      <c r="H26" s="72">
        <f t="shared" si="8"/>
        <v>0</v>
      </c>
      <c r="I26" s="73">
        <f t="shared" si="8"/>
        <v>0</v>
      </c>
      <c r="J26" s="234"/>
      <c r="K26" s="74">
        <v>0</v>
      </c>
      <c r="L26" s="75">
        <f t="shared" si="9"/>
        <v>0</v>
      </c>
      <c r="M26" s="72">
        <f t="shared" si="9"/>
        <v>0</v>
      </c>
      <c r="N26" s="72">
        <f t="shared" si="9"/>
        <v>0</v>
      </c>
      <c r="O26" s="72">
        <f t="shared" si="9"/>
        <v>0</v>
      </c>
      <c r="P26" s="72">
        <f t="shared" si="9"/>
        <v>0</v>
      </c>
      <c r="Q26" s="73">
        <f t="shared" si="9"/>
        <v>0</v>
      </c>
      <c r="S26" s="74">
        <v>0</v>
      </c>
      <c r="T26" s="72">
        <f t="shared" si="10"/>
        <v>0</v>
      </c>
      <c r="U26" s="72">
        <f t="shared" si="10"/>
        <v>0</v>
      </c>
      <c r="V26" s="72">
        <f t="shared" si="10"/>
        <v>0</v>
      </c>
      <c r="W26" s="72">
        <f t="shared" si="10"/>
        <v>0</v>
      </c>
      <c r="X26" s="72">
        <f t="shared" si="10"/>
        <v>0</v>
      </c>
      <c r="Y26" s="73">
        <f t="shared" si="10"/>
        <v>0</v>
      </c>
      <c r="Z26" s="234"/>
      <c r="AA26" s="74">
        <v>0</v>
      </c>
      <c r="AB26" s="72">
        <f t="shared" si="11"/>
        <v>0</v>
      </c>
      <c r="AC26" s="72">
        <f t="shared" si="11"/>
        <v>0</v>
      </c>
      <c r="AD26" s="72">
        <f t="shared" si="11"/>
        <v>0</v>
      </c>
      <c r="AE26" s="72">
        <f t="shared" si="11"/>
        <v>0</v>
      </c>
      <c r="AF26" s="72">
        <f t="shared" si="11"/>
        <v>0</v>
      </c>
      <c r="AG26" s="73">
        <f t="shared" si="11"/>
        <v>0</v>
      </c>
    </row>
    <row r="27" spans="2:33" x14ac:dyDescent="0.25">
      <c r="B27" s="76" t="s">
        <v>132</v>
      </c>
      <c r="C27" s="77">
        <v>0</v>
      </c>
      <c r="D27" s="78">
        <f t="shared" si="8"/>
        <v>0</v>
      </c>
      <c r="E27" s="78">
        <f t="shared" si="8"/>
        <v>0</v>
      </c>
      <c r="F27" s="78">
        <f t="shared" si="8"/>
        <v>0</v>
      </c>
      <c r="G27" s="78">
        <f t="shared" si="8"/>
        <v>0</v>
      </c>
      <c r="H27" s="78">
        <f t="shared" si="8"/>
        <v>0</v>
      </c>
      <c r="I27" s="78">
        <f t="shared" si="8"/>
        <v>0</v>
      </c>
      <c r="J27" s="234"/>
      <c r="K27" s="60">
        <v>0</v>
      </c>
      <c r="L27" s="63">
        <f t="shared" si="9"/>
        <v>0</v>
      </c>
      <c r="M27" s="61">
        <f t="shared" si="9"/>
        <v>0</v>
      </c>
      <c r="N27" s="61">
        <f t="shared" si="9"/>
        <v>0</v>
      </c>
      <c r="O27" s="61">
        <f t="shared" si="9"/>
        <v>0</v>
      </c>
      <c r="P27" s="61">
        <f t="shared" si="9"/>
        <v>0</v>
      </c>
      <c r="Q27" s="62">
        <f t="shared" si="9"/>
        <v>0</v>
      </c>
      <c r="S27" s="60">
        <v>0</v>
      </c>
      <c r="T27" s="61">
        <f t="shared" si="10"/>
        <v>0</v>
      </c>
      <c r="U27" s="61">
        <f t="shared" si="10"/>
        <v>0</v>
      </c>
      <c r="V27" s="61">
        <f t="shared" si="10"/>
        <v>0</v>
      </c>
      <c r="W27" s="61">
        <f t="shared" si="10"/>
        <v>0</v>
      </c>
      <c r="X27" s="61">
        <f t="shared" si="10"/>
        <v>0</v>
      </c>
      <c r="Y27" s="62">
        <f t="shared" si="10"/>
        <v>0</v>
      </c>
      <c r="Z27" s="234"/>
      <c r="AA27" s="60">
        <v>0</v>
      </c>
      <c r="AB27" s="61">
        <f t="shared" si="11"/>
        <v>0</v>
      </c>
      <c r="AC27" s="61">
        <f t="shared" si="11"/>
        <v>0</v>
      </c>
      <c r="AD27" s="61">
        <f t="shared" si="11"/>
        <v>0</v>
      </c>
      <c r="AE27" s="61">
        <f t="shared" si="11"/>
        <v>0</v>
      </c>
      <c r="AF27" s="61">
        <f t="shared" si="11"/>
        <v>0</v>
      </c>
      <c r="AG27" s="62">
        <f t="shared" si="11"/>
        <v>0</v>
      </c>
    </row>
    <row r="28" spans="2:33" x14ac:dyDescent="0.25">
      <c r="B28" s="79" t="s">
        <v>133</v>
      </c>
      <c r="C28" s="77">
        <v>0</v>
      </c>
      <c r="D28" s="66">
        <f t="shared" si="8"/>
        <v>0</v>
      </c>
      <c r="E28" s="66">
        <f t="shared" si="8"/>
        <v>0</v>
      </c>
      <c r="F28" s="66">
        <f t="shared" si="8"/>
        <v>0</v>
      </c>
      <c r="G28" s="66">
        <f t="shared" si="8"/>
        <v>0</v>
      </c>
      <c r="H28" s="66">
        <f t="shared" si="8"/>
        <v>0</v>
      </c>
      <c r="I28" s="66">
        <f t="shared" si="8"/>
        <v>0</v>
      </c>
      <c r="J28" s="234"/>
      <c r="K28" s="68">
        <v>0</v>
      </c>
      <c r="L28" s="69">
        <f t="shared" si="9"/>
        <v>0</v>
      </c>
      <c r="M28" s="66">
        <f t="shared" si="9"/>
        <v>0</v>
      </c>
      <c r="N28" s="66">
        <f t="shared" si="9"/>
        <v>0</v>
      </c>
      <c r="O28" s="66">
        <f t="shared" si="9"/>
        <v>0</v>
      </c>
      <c r="P28" s="66">
        <f t="shared" si="9"/>
        <v>0</v>
      </c>
      <c r="Q28" s="67">
        <f t="shared" si="9"/>
        <v>0</v>
      </c>
      <c r="S28" s="68">
        <v>0</v>
      </c>
      <c r="T28" s="66">
        <f t="shared" si="10"/>
        <v>0</v>
      </c>
      <c r="U28" s="66">
        <f t="shared" si="10"/>
        <v>0</v>
      </c>
      <c r="V28" s="66">
        <f t="shared" si="10"/>
        <v>0</v>
      </c>
      <c r="W28" s="66">
        <f t="shared" si="10"/>
        <v>0</v>
      </c>
      <c r="X28" s="66">
        <f t="shared" si="10"/>
        <v>0</v>
      </c>
      <c r="Y28" s="67">
        <f t="shared" si="10"/>
        <v>0</v>
      </c>
      <c r="Z28" s="234"/>
      <c r="AA28" s="68">
        <v>0</v>
      </c>
      <c r="AB28" s="66">
        <f t="shared" si="11"/>
        <v>0</v>
      </c>
      <c r="AC28" s="66">
        <f t="shared" si="11"/>
        <v>0</v>
      </c>
      <c r="AD28" s="66">
        <f t="shared" si="11"/>
        <v>0</v>
      </c>
      <c r="AE28" s="66">
        <f t="shared" si="11"/>
        <v>0</v>
      </c>
      <c r="AF28" s="66">
        <f t="shared" si="11"/>
        <v>0</v>
      </c>
      <c r="AG28" s="67">
        <f t="shared" si="11"/>
        <v>0</v>
      </c>
    </row>
    <row r="29" spans="2:33" x14ac:dyDescent="0.25">
      <c r="B29" s="79" t="s">
        <v>134</v>
      </c>
      <c r="C29" s="77">
        <v>0</v>
      </c>
      <c r="D29" s="66">
        <f t="shared" si="8"/>
        <v>0</v>
      </c>
      <c r="E29" s="66">
        <f t="shared" si="8"/>
        <v>0</v>
      </c>
      <c r="F29" s="66">
        <f t="shared" si="8"/>
        <v>0</v>
      </c>
      <c r="G29" s="66">
        <f t="shared" si="8"/>
        <v>0</v>
      </c>
      <c r="H29" s="66">
        <f t="shared" si="8"/>
        <v>0</v>
      </c>
      <c r="I29" s="66">
        <f t="shared" si="8"/>
        <v>0</v>
      </c>
      <c r="J29" s="234"/>
      <c r="K29" s="68">
        <v>0</v>
      </c>
      <c r="L29" s="69">
        <f t="shared" si="9"/>
        <v>0</v>
      </c>
      <c r="M29" s="66">
        <f t="shared" si="9"/>
        <v>0</v>
      </c>
      <c r="N29" s="66">
        <f t="shared" si="9"/>
        <v>0</v>
      </c>
      <c r="O29" s="66">
        <f t="shared" si="9"/>
        <v>0</v>
      </c>
      <c r="P29" s="66">
        <f t="shared" si="9"/>
        <v>0</v>
      </c>
      <c r="Q29" s="67">
        <f t="shared" si="9"/>
        <v>0</v>
      </c>
      <c r="S29" s="68">
        <v>0</v>
      </c>
      <c r="T29" s="66">
        <f t="shared" si="10"/>
        <v>0</v>
      </c>
      <c r="U29" s="66">
        <f t="shared" si="10"/>
        <v>0</v>
      </c>
      <c r="V29" s="66">
        <f t="shared" si="10"/>
        <v>0</v>
      </c>
      <c r="W29" s="66">
        <f t="shared" si="10"/>
        <v>0</v>
      </c>
      <c r="X29" s="66">
        <f t="shared" si="10"/>
        <v>0</v>
      </c>
      <c r="Y29" s="67">
        <f t="shared" si="10"/>
        <v>0</v>
      </c>
      <c r="Z29" s="234"/>
      <c r="AA29" s="68">
        <v>0</v>
      </c>
      <c r="AB29" s="66">
        <f t="shared" si="11"/>
        <v>0</v>
      </c>
      <c r="AC29" s="66">
        <f t="shared" si="11"/>
        <v>0</v>
      </c>
      <c r="AD29" s="66">
        <f t="shared" si="11"/>
        <v>0</v>
      </c>
      <c r="AE29" s="66">
        <f t="shared" si="11"/>
        <v>0</v>
      </c>
      <c r="AF29" s="66">
        <f t="shared" si="11"/>
        <v>0</v>
      </c>
      <c r="AG29" s="67">
        <f t="shared" si="11"/>
        <v>0</v>
      </c>
    </row>
    <row r="30" spans="2:33" ht="15.75" thickBot="1" x14ac:dyDescent="0.3">
      <c r="B30" s="80" t="s">
        <v>135</v>
      </c>
      <c r="C30" s="81">
        <v>0</v>
      </c>
      <c r="D30" s="82">
        <f t="shared" si="8"/>
        <v>0</v>
      </c>
      <c r="E30" s="82">
        <f t="shared" si="8"/>
        <v>0</v>
      </c>
      <c r="F30" s="82">
        <f t="shared" si="8"/>
        <v>0</v>
      </c>
      <c r="G30" s="82">
        <f t="shared" si="8"/>
        <v>0</v>
      </c>
      <c r="H30" s="82">
        <f t="shared" si="8"/>
        <v>0</v>
      </c>
      <c r="I30" s="82">
        <f t="shared" si="8"/>
        <v>0</v>
      </c>
      <c r="J30" s="234"/>
      <c r="K30" s="74">
        <v>0</v>
      </c>
      <c r="L30" s="75">
        <f t="shared" si="9"/>
        <v>0</v>
      </c>
      <c r="M30" s="72">
        <f t="shared" si="9"/>
        <v>0</v>
      </c>
      <c r="N30" s="72">
        <f t="shared" si="9"/>
        <v>0</v>
      </c>
      <c r="O30" s="72">
        <f t="shared" si="9"/>
        <v>0</v>
      </c>
      <c r="P30" s="72">
        <f t="shared" si="9"/>
        <v>0</v>
      </c>
      <c r="Q30" s="73">
        <f t="shared" si="9"/>
        <v>0</v>
      </c>
      <c r="S30" s="74">
        <v>0</v>
      </c>
      <c r="T30" s="72">
        <f t="shared" si="10"/>
        <v>0</v>
      </c>
      <c r="U30" s="72">
        <f t="shared" si="10"/>
        <v>0</v>
      </c>
      <c r="V30" s="72">
        <f t="shared" si="10"/>
        <v>0</v>
      </c>
      <c r="W30" s="72">
        <f t="shared" si="10"/>
        <v>0</v>
      </c>
      <c r="X30" s="72">
        <f t="shared" si="10"/>
        <v>0</v>
      </c>
      <c r="Y30" s="73">
        <f t="shared" si="10"/>
        <v>0</v>
      </c>
      <c r="Z30" s="234"/>
      <c r="AA30" s="74">
        <v>0</v>
      </c>
      <c r="AB30" s="72">
        <f t="shared" si="11"/>
        <v>0</v>
      </c>
      <c r="AC30" s="72">
        <f t="shared" si="11"/>
        <v>0</v>
      </c>
      <c r="AD30" s="72">
        <f t="shared" si="11"/>
        <v>0</v>
      </c>
      <c r="AE30" s="72">
        <f t="shared" si="11"/>
        <v>0</v>
      </c>
      <c r="AF30" s="72">
        <f t="shared" si="11"/>
        <v>0</v>
      </c>
      <c r="AG30" s="73">
        <f t="shared" si="11"/>
        <v>0</v>
      </c>
    </row>
    <row r="31" spans="2:33" x14ac:dyDescent="0.25">
      <c r="B31" s="64" t="s">
        <v>136</v>
      </c>
      <c r="C31" s="60">
        <v>0</v>
      </c>
      <c r="D31" s="61">
        <f t="shared" si="8"/>
        <v>0</v>
      </c>
      <c r="E31" s="61">
        <f t="shared" si="8"/>
        <v>0</v>
      </c>
      <c r="F31" s="61">
        <f t="shared" si="8"/>
        <v>0</v>
      </c>
      <c r="G31" s="61">
        <f t="shared" si="8"/>
        <v>0</v>
      </c>
      <c r="H31" s="61">
        <f t="shared" si="8"/>
        <v>0</v>
      </c>
      <c r="I31" s="62">
        <f t="shared" si="8"/>
        <v>0</v>
      </c>
      <c r="J31" s="234"/>
      <c r="K31" s="60">
        <v>0</v>
      </c>
      <c r="L31" s="63">
        <f t="shared" si="9"/>
        <v>0</v>
      </c>
      <c r="M31" s="61">
        <f t="shared" si="9"/>
        <v>0</v>
      </c>
      <c r="N31" s="61">
        <f t="shared" si="9"/>
        <v>0</v>
      </c>
      <c r="O31" s="61">
        <f t="shared" si="9"/>
        <v>0</v>
      </c>
      <c r="P31" s="61">
        <f t="shared" si="9"/>
        <v>0</v>
      </c>
      <c r="Q31" s="62">
        <f t="shared" si="9"/>
        <v>0</v>
      </c>
      <c r="S31" s="60">
        <v>0</v>
      </c>
      <c r="T31" s="61">
        <f t="shared" si="10"/>
        <v>0</v>
      </c>
      <c r="U31" s="61">
        <f t="shared" si="10"/>
        <v>0</v>
      </c>
      <c r="V31" s="61">
        <f t="shared" si="10"/>
        <v>0</v>
      </c>
      <c r="W31" s="61">
        <f t="shared" si="10"/>
        <v>0</v>
      </c>
      <c r="X31" s="61">
        <f t="shared" si="10"/>
        <v>0</v>
      </c>
      <c r="Y31" s="62">
        <f t="shared" si="10"/>
        <v>0</v>
      </c>
      <c r="Z31" s="234"/>
      <c r="AA31" s="60">
        <v>0</v>
      </c>
      <c r="AB31" s="61">
        <f t="shared" si="11"/>
        <v>0</v>
      </c>
      <c r="AC31" s="61">
        <f t="shared" si="11"/>
        <v>0</v>
      </c>
      <c r="AD31" s="61">
        <f t="shared" si="11"/>
        <v>0</v>
      </c>
      <c r="AE31" s="61">
        <f t="shared" si="11"/>
        <v>0</v>
      </c>
      <c r="AF31" s="61">
        <f t="shared" si="11"/>
        <v>0</v>
      </c>
      <c r="AG31" s="62">
        <f t="shared" si="11"/>
        <v>0</v>
      </c>
    </row>
    <row r="32" spans="2:33" x14ac:dyDescent="0.25">
      <c r="B32" s="79" t="s">
        <v>137</v>
      </c>
      <c r="C32" s="65">
        <v>0</v>
      </c>
      <c r="D32" s="66">
        <f t="shared" si="8"/>
        <v>0</v>
      </c>
      <c r="E32" s="66">
        <f t="shared" si="8"/>
        <v>0</v>
      </c>
      <c r="F32" s="66">
        <f t="shared" si="8"/>
        <v>0</v>
      </c>
      <c r="G32" s="66">
        <f t="shared" si="8"/>
        <v>0</v>
      </c>
      <c r="H32" s="66">
        <f t="shared" si="8"/>
        <v>0</v>
      </c>
      <c r="I32" s="67">
        <f t="shared" si="8"/>
        <v>0</v>
      </c>
      <c r="J32" s="234"/>
      <c r="K32" s="68">
        <v>0</v>
      </c>
      <c r="L32" s="69">
        <f t="shared" si="9"/>
        <v>0</v>
      </c>
      <c r="M32" s="66">
        <f t="shared" si="9"/>
        <v>0</v>
      </c>
      <c r="N32" s="66">
        <f t="shared" si="9"/>
        <v>0</v>
      </c>
      <c r="O32" s="66">
        <f t="shared" si="9"/>
        <v>0</v>
      </c>
      <c r="P32" s="66">
        <f t="shared" si="9"/>
        <v>0</v>
      </c>
      <c r="Q32" s="67">
        <f t="shared" si="9"/>
        <v>0</v>
      </c>
      <c r="S32" s="68">
        <v>0</v>
      </c>
      <c r="T32" s="66">
        <f t="shared" si="10"/>
        <v>0</v>
      </c>
      <c r="U32" s="66">
        <f t="shared" si="10"/>
        <v>0</v>
      </c>
      <c r="V32" s="66">
        <f t="shared" si="10"/>
        <v>0</v>
      </c>
      <c r="W32" s="66">
        <f t="shared" si="10"/>
        <v>0</v>
      </c>
      <c r="X32" s="66">
        <f t="shared" si="10"/>
        <v>0</v>
      </c>
      <c r="Y32" s="67">
        <f t="shared" si="10"/>
        <v>0</v>
      </c>
      <c r="Z32" s="234"/>
      <c r="AA32" s="68">
        <v>0</v>
      </c>
      <c r="AB32" s="66">
        <f t="shared" si="11"/>
        <v>0</v>
      </c>
      <c r="AC32" s="66">
        <f t="shared" si="11"/>
        <v>0</v>
      </c>
      <c r="AD32" s="66">
        <f t="shared" si="11"/>
        <v>0</v>
      </c>
      <c r="AE32" s="66">
        <f t="shared" si="11"/>
        <v>0</v>
      </c>
      <c r="AF32" s="66">
        <f t="shared" si="11"/>
        <v>0</v>
      </c>
      <c r="AG32" s="67">
        <f t="shared" si="11"/>
        <v>0</v>
      </c>
    </row>
    <row r="33" spans="2:33" x14ac:dyDescent="0.25">
      <c r="B33" s="79" t="s">
        <v>138</v>
      </c>
      <c r="C33" s="65">
        <v>0</v>
      </c>
      <c r="D33" s="66">
        <f t="shared" si="8"/>
        <v>0</v>
      </c>
      <c r="E33" s="66">
        <f t="shared" si="8"/>
        <v>0</v>
      </c>
      <c r="F33" s="66">
        <f t="shared" si="8"/>
        <v>0</v>
      </c>
      <c r="G33" s="66">
        <f t="shared" si="8"/>
        <v>0</v>
      </c>
      <c r="H33" s="66">
        <f t="shared" si="8"/>
        <v>0</v>
      </c>
      <c r="I33" s="67">
        <f t="shared" si="8"/>
        <v>0</v>
      </c>
      <c r="J33" s="234"/>
      <c r="K33" s="68">
        <v>0</v>
      </c>
      <c r="L33" s="69">
        <f t="shared" si="9"/>
        <v>0</v>
      </c>
      <c r="M33" s="66">
        <f t="shared" si="9"/>
        <v>0</v>
      </c>
      <c r="N33" s="66">
        <f t="shared" si="9"/>
        <v>0</v>
      </c>
      <c r="O33" s="66">
        <f t="shared" si="9"/>
        <v>0</v>
      </c>
      <c r="P33" s="66">
        <f t="shared" si="9"/>
        <v>0</v>
      </c>
      <c r="Q33" s="67">
        <f t="shared" si="9"/>
        <v>0</v>
      </c>
      <c r="S33" s="68">
        <v>0</v>
      </c>
      <c r="T33" s="66">
        <f t="shared" si="10"/>
        <v>0</v>
      </c>
      <c r="U33" s="66">
        <f t="shared" si="10"/>
        <v>0</v>
      </c>
      <c r="V33" s="66">
        <f t="shared" si="10"/>
        <v>0</v>
      </c>
      <c r="W33" s="66">
        <f t="shared" si="10"/>
        <v>0</v>
      </c>
      <c r="X33" s="66">
        <f t="shared" si="10"/>
        <v>0</v>
      </c>
      <c r="Y33" s="67">
        <f t="shared" si="10"/>
        <v>0</v>
      </c>
      <c r="Z33" s="234"/>
      <c r="AA33" s="68">
        <v>0</v>
      </c>
      <c r="AB33" s="66">
        <f t="shared" si="11"/>
        <v>0</v>
      </c>
      <c r="AC33" s="66">
        <f t="shared" si="11"/>
        <v>0</v>
      </c>
      <c r="AD33" s="66">
        <f t="shared" si="11"/>
        <v>0</v>
      </c>
      <c r="AE33" s="66">
        <f t="shared" si="11"/>
        <v>0</v>
      </c>
      <c r="AF33" s="66">
        <f t="shared" si="11"/>
        <v>0</v>
      </c>
      <c r="AG33" s="67">
        <f t="shared" si="11"/>
        <v>0</v>
      </c>
    </row>
    <row r="34" spans="2:33" ht="15.75" thickBot="1" x14ac:dyDescent="0.3">
      <c r="B34" s="83" t="s">
        <v>139</v>
      </c>
      <c r="C34" s="71">
        <v>0</v>
      </c>
      <c r="D34" s="72">
        <f t="shared" si="8"/>
        <v>0</v>
      </c>
      <c r="E34" s="72">
        <f t="shared" si="8"/>
        <v>0</v>
      </c>
      <c r="F34" s="72">
        <f t="shared" si="8"/>
        <v>0</v>
      </c>
      <c r="G34" s="72">
        <f t="shared" si="8"/>
        <v>0</v>
      </c>
      <c r="H34" s="72">
        <f t="shared" si="8"/>
        <v>0</v>
      </c>
      <c r="I34" s="73">
        <f t="shared" si="8"/>
        <v>0</v>
      </c>
      <c r="J34" s="234"/>
      <c r="K34" s="74">
        <v>0</v>
      </c>
      <c r="L34" s="75">
        <f t="shared" si="9"/>
        <v>0</v>
      </c>
      <c r="M34" s="72">
        <f t="shared" si="9"/>
        <v>0</v>
      </c>
      <c r="N34" s="72">
        <f t="shared" si="9"/>
        <v>0</v>
      </c>
      <c r="O34" s="72">
        <f t="shared" si="9"/>
        <v>0</v>
      </c>
      <c r="P34" s="72">
        <f t="shared" si="9"/>
        <v>0</v>
      </c>
      <c r="Q34" s="73">
        <f t="shared" si="9"/>
        <v>0</v>
      </c>
      <c r="S34" s="74">
        <v>0</v>
      </c>
      <c r="T34" s="72">
        <f t="shared" si="10"/>
        <v>0</v>
      </c>
      <c r="U34" s="72">
        <f t="shared" si="10"/>
        <v>0</v>
      </c>
      <c r="V34" s="72">
        <f t="shared" si="10"/>
        <v>0</v>
      </c>
      <c r="W34" s="72">
        <f t="shared" si="10"/>
        <v>0</v>
      </c>
      <c r="X34" s="72">
        <f t="shared" si="10"/>
        <v>0</v>
      </c>
      <c r="Y34" s="73">
        <f t="shared" si="10"/>
        <v>0</v>
      </c>
      <c r="Z34" s="234"/>
      <c r="AA34" s="74">
        <v>0</v>
      </c>
      <c r="AB34" s="72">
        <f t="shared" si="11"/>
        <v>0</v>
      </c>
      <c r="AC34" s="72">
        <f t="shared" si="11"/>
        <v>0</v>
      </c>
      <c r="AD34" s="72">
        <f t="shared" si="11"/>
        <v>0</v>
      </c>
      <c r="AE34" s="72">
        <f t="shared" si="11"/>
        <v>0</v>
      </c>
      <c r="AF34" s="72">
        <f t="shared" si="11"/>
        <v>0</v>
      </c>
      <c r="AG34" s="73">
        <f t="shared" si="11"/>
        <v>0</v>
      </c>
    </row>
    <row r="35" spans="2:33" x14ac:dyDescent="0.25">
      <c r="B35" s="76" t="s">
        <v>140</v>
      </c>
      <c r="C35" s="77">
        <v>0</v>
      </c>
      <c r="D35" s="78">
        <f t="shared" si="8"/>
        <v>0</v>
      </c>
      <c r="E35" s="78">
        <f t="shared" si="8"/>
        <v>0</v>
      </c>
      <c r="F35" s="78">
        <f t="shared" si="8"/>
        <v>0</v>
      </c>
      <c r="G35" s="78">
        <f t="shared" si="8"/>
        <v>0</v>
      </c>
      <c r="H35" s="78">
        <f t="shared" si="8"/>
        <v>0</v>
      </c>
      <c r="I35" s="78">
        <f t="shared" si="8"/>
        <v>0</v>
      </c>
      <c r="J35" s="234"/>
      <c r="K35" s="60">
        <v>0</v>
      </c>
      <c r="L35" s="63">
        <f t="shared" si="9"/>
        <v>0</v>
      </c>
      <c r="M35" s="61">
        <f t="shared" si="9"/>
        <v>0</v>
      </c>
      <c r="N35" s="61">
        <f t="shared" si="9"/>
        <v>0</v>
      </c>
      <c r="O35" s="61">
        <f t="shared" si="9"/>
        <v>0</v>
      </c>
      <c r="P35" s="61">
        <f t="shared" si="9"/>
        <v>0</v>
      </c>
      <c r="Q35" s="62">
        <f t="shared" si="9"/>
        <v>0</v>
      </c>
      <c r="S35" s="60">
        <v>0</v>
      </c>
      <c r="T35" s="61">
        <f t="shared" si="10"/>
        <v>0</v>
      </c>
      <c r="U35" s="61">
        <f t="shared" si="10"/>
        <v>0</v>
      </c>
      <c r="V35" s="61">
        <f t="shared" si="10"/>
        <v>0</v>
      </c>
      <c r="W35" s="61">
        <f t="shared" si="10"/>
        <v>0</v>
      </c>
      <c r="X35" s="61">
        <f t="shared" si="10"/>
        <v>0</v>
      </c>
      <c r="Y35" s="62">
        <f t="shared" si="10"/>
        <v>0</v>
      </c>
      <c r="Z35" s="234"/>
      <c r="AA35" s="60">
        <v>0</v>
      </c>
      <c r="AB35" s="61">
        <f t="shared" si="11"/>
        <v>0</v>
      </c>
      <c r="AC35" s="61">
        <f t="shared" si="11"/>
        <v>0</v>
      </c>
      <c r="AD35" s="61">
        <f t="shared" si="11"/>
        <v>0</v>
      </c>
      <c r="AE35" s="61">
        <f t="shared" si="11"/>
        <v>0</v>
      </c>
      <c r="AF35" s="61">
        <f t="shared" si="11"/>
        <v>0</v>
      </c>
      <c r="AG35" s="62">
        <f t="shared" si="11"/>
        <v>0</v>
      </c>
    </row>
    <row r="36" spans="2:33" x14ac:dyDescent="0.25">
      <c r="B36" s="79" t="s">
        <v>141</v>
      </c>
      <c r="C36" s="77">
        <v>0</v>
      </c>
      <c r="D36" s="66">
        <f t="shared" si="8"/>
        <v>0</v>
      </c>
      <c r="E36" s="66">
        <f t="shared" si="8"/>
        <v>0</v>
      </c>
      <c r="F36" s="66">
        <f t="shared" si="8"/>
        <v>0</v>
      </c>
      <c r="G36" s="66">
        <f t="shared" si="8"/>
        <v>0</v>
      </c>
      <c r="H36" s="66">
        <f t="shared" si="8"/>
        <v>0</v>
      </c>
      <c r="I36" s="66">
        <f t="shared" si="8"/>
        <v>0</v>
      </c>
      <c r="J36" s="234"/>
      <c r="K36" s="68">
        <v>0</v>
      </c>
      <c r="L36" s="69">
        <f t="shared" si="9"/>
        <v>0</v>
      </c>
      <c r="M36" s="66">
        <f t="shared" si="9"/>
        <v>0</v>
      </c>
      <c r="N36" s="66">
        <f t="shared" si="9"/>
        <v>0</v>
      </c>
      <c r="O36" s="66">
        <f t="shared" si="9"/>
        <v>0</v>
      </c>
      <c r="P36" s="66">
        <f t="shared" si="9"/>
        <v>0</v>
      </c>
      <c r="Q36" s="67">
        <f t="shared" si="9"/>
        <v>0</v>
      </c>
      <c r="S36" s="68">
        <v>0</v>
      </c>
      <c r="T36" s="66">
        <f t="shared" si="10"/>
        <v>0</v>
      </c>
      <c r="U36" s="66">
        <f t="shared" si="10"/>
        <v>0</v>
      </c>
      <c r="V36" s="66">
        <f t="shared" si="10"/>
        <v>0</v>
      </c>
      <c r="W36" s="66">
        <f t="shared" si="10"/>
        <v>0</v>
      </c>
      <c r="X36" s="66">
        <f t="shared" si="10"/>
        <v>0</v>
      </c>
      <c r="Y36" s="67">
        <f t="shared" si="10"/>
        <v>0</v>
      </c>
      <c r="Z36" s="234"/>
      <c r="AA36" s="68">
        <v>0</v>
      </c>
      <c r="AB36" s="66">
        <f t="shared" si="11"/>
        <v>0</v>
      </c>
      <c r="AC36" s="66">
        <f t="shared" si="11"/>
        <v>0</v>
      </c>
      <c r="AD36" s="66">
        <f t="shared" si="11"/>
        <v>0</v>
      </c>
      <c r="AE36" s="66">
        <f t="shared" si="11"/>
        <v>0</v>
      </c>
      <c r="AF36" s="66">
        <f t="shared" si="11"/>
        <v>0</v>
      </c>
      <c r="AG36" s="67">
        <f t="shared" si="11"/>
        <v>0</v>
      </c>
    </row>
    <row r="37" spans="2:33" x14ac:dyDescent="0.25">
      <c r="B37" s="79" t="s">
        <v>142</v>
      </c>
      <c r="C37" s="77">
        <v>0</v>
      </c>
      <c r="D37" s="66">
        <f t="shared" si="8"/>
        <v>0</v>
      </c>
      <c r="E37" s="66">
        <f t="shared" si="8"/>
        <v>0</v>
      </c>
      <c r="F37" s="66">
        <f t="shared" si="8"/>
        <v>0</v>
      </c>
      <c r="G37" s="66">
        <f t="shared" si="8"/>
        <v>0</v>
      </c>
      <c r="H37" s="66">
        <f t="shared" si="8"/>
        <v>0</v>
      </c>
      <c r="I37" s="66">
        <f t="shared" si="8"/>
        <v>0</v>
      </c>
      <c r="J37" s="234"/>
      <c r="K37" s="68">
        <v>0</v>
      </c>
      <c r="L37" s="69">
        <f t="shared" si="9"/>
        <v>0</v>
      </c>
      <c r="M37" s="66">
        <f t="shared" si="9"/>
        <v>0</v>
      </c>
      <c r="N37" s="66">
        <f t="shared" si="9"/>
        <v>0</v>
      </c>
      <c r="O37" s="66">
        <f t="shared" si="9"/>
        <v>0</v>
      </c>
      <c r="P37" s="66">
        <f t="shared" si="9"/>
        <v>0</v>
      </c>
      <c r="Q37" s="67">
        <f t="shared" si="9"/>
        <v>0</v>
      </c>
      <c r="S37" s="68">
        <v>0</v>
      </c>
      <c r="T37" s="66">
        <f t="shared" si="10"/>
        <v>0</v>
      </c>
      <c r="U37" s="66">
        <f t="shared" si="10"/>
        <v>0</v>
      </c>
      <c r="V37" s="66">
        <f t="shared" si="10"/>
        <v>0</v>
      </c>
      <c r="W37" s="66">
        <f t="shared" si="10"/>
        <v>0</v>
      </c>
      <c r="X37" s="66">
        <f t="shared" si="10"/>
        <v>0</v>
      </c>
      <c r="Y37" s="67">
        <f t="shared" si="10"/>
        <v>0</v>
      </c>
      <c r="Z37" s="234"/>
      <c r="AA37" s="68">
        <v>0</v>
      </c>
      <c r="AB37" s="66">
        <f t="shared" si="11"/>
        <v>0</v>
      </c>
      <c r="AC37" s="66">
        <f t="shared" si="11"/>
        <v>0</v>
      </c>
      <c r="AD37" s="66">
        <f t="shared" si="11"/>
        <v>0</v>
      </c>
      <c r="AE37" s="66">
        <f t="shared" si="11"/>
        <v>0</v>
      </c>
      <c r="AF37" s="66">
        <f t="shared" si="11"/>
        <v>0</v>
      </c>
      <c r="AG37" s="67">
        <f t="shared" si="11"/>
        <v>0</v>
      </c>
    </row>
    <row r="38" spans="2:33" ht="15.75" thickBot="1" x14ac:dyDescent="0.3">
      <c r="B38" s="80" t="s">
        <v>143</v>
      </c>
      <c r="C38" s="81">
        <v>0</v>
      </c>
      <c r="D38" s="82">
        <f t="shared" si="8"/>
        <v>0</v>
      </c>
      <c r="E38" s="82">
        <f t="shared" si="8"/>
        <v>0</v>
      </c>
      <c r="F38" s="82">
        <f t="shared" si="8"/>
        <v>0</v>
      </c>
      <c r="G38" s="82">
        <f t="shared" si="8"/>
        <v>0</v>
      </c>
      <c r="H38" s="82">
        <f t="shared" si="8"/>
        <v>0</v>
      </c>
      <c r="I38" s="82">
        <f t="shared" si="8"/>
        <v>0</v>
      </c>
      <c r="J38" s="234"/>
      <c r="K38" s="74">
        <v>0</v>
      </c>
      <c r="L38" s="75">
        <f t="shared" si="9"/>
        <v>0</v>
      </c>
      <c r="M38" s="72">
        <f t="shared" si="9"/>
        <v>0</v>
      </c>
      <c r="N38" s="72">
        <f t="shared" si="9"/>
        <v>0</v>
      </c>
      <c r="O38" s="72">
        <f t="shared" si="9"/>
        <v>0</v>
      </c>
      <c r="P38" s="72">
        <f t="shared" si="9"/>
        <v>0</v>
      </c>
      <c r="Q38" s="73">
        <f t="shared" si="9"/>
        <v>0</v>
      </c>
      <c r="S38" s="74">
        <v>0</v>
      </c>
      <c r="T38" s="72">
        <f t="shared" si="10"/>
        <v>0</v>
      </c>
      <c r="U38" s="72">
        <f t="shared" si="10"/>
        <v>0</v>
      </c>
      <c r="V38" s="72">
        <f t="shared" si="10"/>
        <v>0</v>
      </c>
      <c r="W38" s="72">
        <f t="shared" si="10"/>
        <v>0</v>
      </c>
      <c r="X38" s="72">
        <f t="shared" si="10"/>
        <v>0</v>
      </c>
      <c r="Y38" s="73">
        <f t="shared" si="10"/>
        <v>0</v>
      </c>
      <c r="Z38" s="234"/>
      <c r="AA38" s="74">
        <v>0</v>
      </c>
      <c r="AB38" s="72">
        <f t="shared" si="11"/>
        <v>0</v>
      </c>
      <c r="AC38" s="72">
        <f t="shared" si="11"/>
        <v>0</v>
      </c>
      <c r="AD38" s="72">
        <f t="shared" si="11"/>
        <v>0</v>
      </c>
      <c r="AE38" s="72">
        <f t="shared" si="11"/>
        <v>0</v>
      </c>
      <c r="AF38" s="72">
        <f t="shared" si="11"/>
        <v>0</v>
      </c>
      <c r="AG38" s="73">
        <f t="shared" si="11"/>
        <v>0</v>
      </c>
    </row>
    <row r="39" spans="2:33" x14ac:dyDescent="0.25">
      <c r="B39" s="64" t="s">
        <v>144</v>
      </c>
      <c r="C39" s="60">
        <v>0</v>
      </c>
      <c r="D39" s="61">
        <f t="shared" si="8"/>
        <v>0</v>
      </c>
      <c r="E39" s="61">
        <f t="shared" si="8"/>
        <v>0</v>
      </c>
      <c r="F39" s="61">
        <f t="shared" si="8"/>
        <v>0</v>
      </c>
      <c r="G39" s="61">
        <f t="shared" si="8"/>
        <v>0</v>
      </c>
      <c r="H39" s="61">
        <f t="shared" si="8"/>
        <v>0</v>
      </c>
      <c r="I39" s="62">
        <f t="shared" si="8"/>
        <v>0</v>
      </c>
      <c r="J39" s="234"/>
      <c r="K39" s="60">
        <v>0</v>
      </c>
      <c r="L39" s="63">
        <f t="shared" si="9"/>
        <v>0</v>
      </c>
      <c r="M39" s="61">
        <f t="shared" si="9"/>
        <v>0</v>
      </c>
      <c r="N39" s="61">
        <f t="shared" si="9"/>
        <v>0</v>
      </c>
      <c r="O39" s="61">
        <f t="shared" si="9"/>
        <v>0</v>
      </c>
      <c r="P39" s="61">
        <f t="shared" si="9"/>
        <v>0</v>
      </c>
      <c r="Q39" s="62">
        <f t="shared" si="9"/>
        <v>0</v>
      </c>
      <c r="S39" s="60">
        <v>0</v>
      </c>
      <c r="T39" s="61">
        <f t="shared" si="10"/>
        <v>0</v>
      </c>
      <c r="U39" s="61">
        <f t="shared" si="10"/>
        <v>0</v>
      </c>
      <c r="V39" s="61">
        <f t="shared" si="10"/>
        <v>0</v>
      </c>
      <c r="W39" s="61">
        <f t="shared" si="10"/>
        <v>0</v>
      </c>
      <c r="X39" s="61">
        <f t="shared" si="10"/>
        <v>0</v>
      </c>
      <c r="Y39" s="62">
        <f t="shared" si="10"/>
        <v>0</v>
      </c>
      <c r="Z39" s="234"/>
      <c r="AA39" s="60">
        <v>0</v>
      </c>
      <c r="AB39" s="61">
        <f t="shared" si="11"/>
        <v>0</v>
      </c>
      <c r="AC39" s="61">
        <f t="shared" si="11"/>
        <v>0</v>
      </c>
      <c r="AD39" s="61">
        <f t="shared" si="11"/>
        <v>0</v>
      </c>
      <c r="AE39" s="61">
        <f t="shared" si="11"/>
        <v>0</v>
      </c>
      <c r="AF39" s="61">
        <f t="shared" si="11"/>
        <v>0</v>
      </c>
      <c r="AG39" s="62">
        <f t="shared" si="11"/>
        <v>0</v>
      </c>
    </row>
    <row r="40" spans="2:33" x14ac:dyDescent="0.25">
      <c r="B40" s="79" t="s">
        <v>145</v>
      </c>
      <c r="C40" s="65">
        <v>0</v>
      </c>
      <c r="D40" s="66">
        <f t="shared" ref="D40:I55" si="12">C40*D$4</f>
        <v>0</v>
      </c>
      <c r="E40" s="66">
        <f t="shared" si="12"/>
        <v>0</v>
      </c>
      <c r="F40" s="66">
        <f t="shared" si="12"/>
        <v>0</v>
      </c>
      <c r="G40" s="66">
        <f t="shared" si="12"/>
        <v>0</v>
      </c>
      <c r="H40" s="66">
        <f t="shared" si="12"/>
        <v>0</v>
      </c>
      <c r="I40" s="67">
        <f t="shared" si="12"/>
        <v>0</v>
      </c>
      <c r="J40" s="234"/>
      <c r="K40" s="68">
        <v>0</v>
      </c>
      <c r="L40" s="69">
        <f t="shared" ref="L40:Q55" si="13">K40*L$4</f>
        <v>0</v>
      </c>
      <c r="M40" s="66">
        <f t="shared" si="13"/>
        <v>0</v>
      </c>
      <c r="N40" s="66">
        <f t="shared" si="13"/>
        <v>0</v>
      </c>
      <c r="O40" s="66">
        <f t="shared" si="13"/>
        <v>0</v>
      </c>
      <c r="P40" s="66">
        <f t="shared" si="13"/>
        <v>0</v>
      </c>
      <c r="Q40" s="67">
        <f t="shared" si="13"/>
        <v>0</v>
      </c>
      <c r="S40" s="68">
        <v>0</v>
      </c>
      <c r="T40" s="66">
        <f t="shared" ref="T40:Y55" si="14">S40*T$4</f>
        <v>0</v>
      </c>
      <c r="U40" s="66">
        <f t="shared" si="14"/>
        <v>0</v>
      </c>
      <c r="V40" s="66">
        <f t="shared" si="14"/>
        <v>0</v>
      </c>
      <c r="W40" s="66">
        <f t="shared" si="14"/>
        <v>0</v>
      </c>
      <c r="X40" s="66">
        <f t="shared" si="14"/>
        <v>0</v>
      </c>
      <c r="Y40" s="67">
        <f t="shared" si="14"/>
        <v>0</v>
      </c>
      <c r="Z40" s="234"/>
      <c r="AA40" s="68">
        <v>0</v>
      </c>
      <c r="AB40" s="66">
        <f t="shared" ref="AB40:AG55" si="15">AA40*AB$4</f>
        <v>0</v>
      </c>
      <c r="AC40" s="66">
        <f t="shared" si="15"/>
        <v>0</v>
      </c>
      <c r="AD40" s="66">
        <f t="shared" si="15"/>
        <v>0</v>
      </c>
      <c r="AE40" s="66">
        <f t="shared" si="15"/>
        <v>0</v>
      </c>
      <c r="AF40" s="66">
        <f t="shared" si="15"/>
        <v>0</v>
      </c>
      <c r="AG40" s="67">
        <f t="shared" si="15"/>
        <v>0</v>
      </c>
    </row>
    <row r="41" spans="2:33" x14ac:dyDescent="0.25">
      <c r="B41" s="79" t="s">
        <v>146</v>
      </c>
      <c r="C41" s="65">
        <v>0</v>
      </c>
      <c r="D41" s="66">
        <f t="shared" si="12"/>
        <v>0</v>
      </c>
      <c r="E41" s="66">
        <f t="shared" si="12"/>
        <v>0</v>
      </c>
      <c r="F41" s="66">
        <f t="shared" si="12"/>
        <v>0</v>
      </c>
      <c r="G41" s="66">
        <f t="shared" si="12"/>
        <v>0</v>
      </c>
      <c r="H41" s="66">
        <f t="shared" si="12"/>
        <v>0</v>
      </c>
      <c r="I41" s="67">
        <f t="shared" si="12"/>
        <v>0</v>
      </c>
      <c r="J41" s="234"/>
      <c r="K41" s="68">
        <v>0</v>
      </c>
      <c r="L41" s="69">
        <f t="shared" si="13"/>
        <v>0</v>
      </c>
      <c r="M41" s="66">
        <f t="shared" si="13"/>
        <v>0</v>
      </c>
      <c r="N41" s="66">
        <f t="shared" si="13"/>
        <v>0</v>
      </c>
      <c r="O41" s="66">
        <f t="shared" si="13"/>
        <v>0</v>
      </c>
      <c r="P41" s="66">
        <f t="shared" si="13"/>
        <v>0</v>
      </c>
      <c r="Q41" s="67">
        <f t="shared" si="13"/>
        <v>0</v>
      </c>
      <c r="S41" s="68">
        <v>0</v>
      </c>
      <c r="T41" s="66">
        <f t="shared" si="14"/>
        <v>0</v>
      </c>
      <c r="U41" s="66">
        <f t="shared" si="14"/>
        <v>0</v>
      </c>
      <c r="V41" s="66">
        <f t="shared" si="14"/>
        <v>0</v>
      </c>
      <c r="W41" s="66">
        <f t="shared" si="14"/>
        <v>0</v>
      </c>
      <c r="X41" s="66">
        <f t="shared" si="14"/>
        <v>0</v>
      </c>
      <c r="Y41" s="67">
        <f t="shared" si="14"/>
        <v>0</v>
      </c>
      <c r="Z41" s="234"/>
      <c r="AA41" s="68">
        <v>0</v>
      </c>
      <c r="AB41" s="66">
        <f t="shared" si="15"/>
        <v>0</v>
      </c>
      <c r="AC41" s="66">
        <f t="shared" si="15"/>
        <v>0</v>
      </c>
      <c r="AD41" s="66">
        <f t="shared" si="15"/>
        <v>0</v>
      </c>
      <c r="AE41" s="66">
        <f t="shared" si="15"/>
        <v>0</v>
      </c>
      <c r="AF41" s="66">
        <f t="shared" si="15"/>
        <v>0</v>
      </c>
      <c r="AG41" s="67">
        <f t="shared" si="15"/>
        <v>0</v>
      </c>
    </row>
    <row r="42" spans="2:33" ht="15.75" thickBot="1" x14ac:dyDescent="0.3">
      <c r="B42" s="83" t="s">
        <v>147</v>
      </c>
      <c r="C42" s="71">
        <v>0</v>
      </c>
      <c r="D42" s="72">
        <f t="shared" si="12"/>
        <v>0</v>
      </c>
      <c r="E42" s="72">
        <f t="shared" si="12"/>
        <v>0</v>
      </c>
      <c r="F42" s="72">
        <f t="shared" si="12"/>
        <v>0</v>
      </c>
      <c r="G42" s="72">
        <f t="shared" si="12"/>
        <v>0</v>
      </c>
      <c r="H42" s="72">
        <f t="shared" si="12"/>
        <v>0</v>
      </c>
      <c r="I42" s="73">
        <f t="shared" si="12"/>
        <v>0</v>
      </c>
      <c r="J42" s="234"/>
      <c r="K42" s="74">
        <v>0</v>
      </c>
      <c r="L42" s="75">
        <f t="shared" si="13"/>
        <v>0</v>
      </c>
      <c r="M42" s="72">
        <f t="shared" si="13"/>
        <v>0</v>
      </c>
      <c r="N42" s="72">
        <f t="shared" si="13"/>
        <v>0</v>
      </c>
      <c r="O42" s="72">
        <f t="shared" si="13"/>
        <v>0</v>
      </c>
      <c r="P42" s="72">
        <f t="shared" si="13"/>
        <v>0</v>
      </c>
      <c r="Q42" s="73">
        <f t="shared" si="13"/>
        <v>0</v>
      </c>
      <c r="S42" s="74">
        <v>0</v>
      </c>
      <c r="T42" s="72">
        <f t="shared" si="14"/>
        <v>0</v>
      </c>
      <c r="U42" s="72">
        <f t="shared" si="14"/>
        <v>0</v>
      </c>
      <c r="V42" s="72">
        <f t="shared" si="14"/>
        <v>0</v>
      </c>
      <c r="W42" s="72">
        <f t="shared" si="14"/>
        <v>0</v>
      </c>
      <c r="X42" s="72">
        <f t="shared" si="14"/>
        <v>0</v>
      </c>
      <c r="Y42" s="73">
        <f t="shared" si="14"/>
        <v>0</v>
      </c>
      <c r="Z42" s="234"/>
      <c r="AA42" s="74">
        <v>0</v>
      </c>
      <c r="AB42" s="72">
        <f t="shared" si="15"/>
        <v>0</v>
      </c>
      <c r="AC42" s="72">
        <f t="shared" si="15"/>
        <v>0</v>
      </c>
      <c r="AD42" s="72">
        <f t="shared" si="15"/>
        <v>0</v>
      </c>
      <c r="AE42" s="72">
        <f t="shared" si="15"/>
        <v>0</v>
      </c>
      <c r="AF42" s="72">
        <f t="shared" si="15"/>
        <v>0</v>
      </c>
      <c r="AG42" s="73">
        <f t="shared" si="15"/>
        <v>0</v>
      </c>
    </row>
    <row r="43" spans="2:33" ht="30" x14ac:dyDescent="0.25">
      <c r="B43" s="76" t="s">
        <v>148</v>
      </c>
      <c r="C43" s="77">
        <v>0</v>
      </c>
      <c r="D43" s="78">
        <f t="shared" si="12"/>
        <v>0</v>
      </c>
      <c r="E43" s="78">
        <f t="shared" si="12"/>
        <v>0</v>
      </c>
      <c r="F43" s="78">
        <f t="shared" si="12"/>
        <v>0</v>
      </c>
      <c r="G43" s="78">
        <f t="shared" si="12"/>
        <v>0</v>
      </c>
      <c r="H43" s="78">
        <f t="shared" si="12"/>
        <v>0</v>
      </c>
      <c r="I43" s="78">
        <f t="shared" si="12"/>
        <v>0</v>
      </c>
      <c r="J43" s="234"/>
      <c r="K43" s="60">
        <v>0</v>
      </c>
      <c r="L43" s="63">
        <f t="shared" si="13"/>
        <v>0</v>
      </c>
      <c r="M43" s="61">
        <f t="shared" si="13"/>
        <v>0</v>
      </c>
      <c r="N43" s="61">
        <f t="shared" si="13"/>
        <v>0</v>
      </c>
      <c r="O43" s="61">
        <f t="shared" si="13"/>
        <v>0</v>
      </c>
      <c r="P43" s="61">
        <f t="shared" si="13"/>
        <v>0</v>
      </c>
      <c r="Q43" s="62">
        <f t="shared" si="13"/>
        <v>0</v>
      </c>
      <c r="S43" s="60">
        <v>0</v>
      </c>
      <c r="T43" s="61">
        <f t="shared" si="14"/>
        <v>0</v>
      </c>
      <c r="U43" s="61">
        <f t="shared" si="14"/>
        <v>0</v>
      </c>
      <c r="V43" s="61">
        <f t="shared" si="14"/>
        <v>0</v>
      </c>
      <c r="W43" s="61">
        <f t="shared" si="14"/>
        <v>0</v>
      </c>
      <c r="X43" s="61">
        <f t="shared" si="14"/>
        <v>0</v>
      </c>
      <c r="Y43" s="62">
        <f t="shared" si="14"/>
        <v>0</v>
      </c>
      <c r="Z43" s="234"/>
      <c r="AA43" s="60">
        <v>0</v>
      </c>
      <c r="AB43" s="61">
        <f t="shared" si="15"/>
        <v>0</v>
      </c>
      <c r="AC43" s="61">
        <f t="shared" si="15"/>
        <v>0</v>
      </c>
      <c r="AD43" s="61">
        <f t="shared" si="15"/>
        <v>0</v>
      </c>
      <c r="AE43" s="61">
        <f t="shared" si="15"/>
        <v>0</v>
      </c>
      <c r="AF43" s="61">
        <f t="shared" si="15"/>
        <v>0</v>
      </c>
      <c r="AG43" s="62">
        <f t="shared" si="15"/>
        <v>0</v>
      </c>
    </row>
    <row r="44" spans="2:33" ht="30" x14ac:dyDescent="0.25">
      <c r="B44" s="79" t="s">
        <v>149</v>
      </c>
      <c r="C44" s="77">
        <v>0</v>
      </c>
      <c r="D44" s="66">
        <f t="shared" si="12"/>
        <v>0</v>
      </c>
      <c r="E44" s="66">
        <f t="shared" si="12"/>
        <v>0</v>
      </c>
      <c r="F44" s="66">
        <f t="shared" si="12"/>
        <v>0</v>
      </c>
      <c r="G44" s="66">
        <f t="shared" si="12"/>
        <v>0</v>
      </c>
      <c r="H44" s="66">
        <f t="shared" si="12"/>
        <v>0</v>
      </c>
      <c r="I44" s="66">
        <f t="shared" si="12"/>
        <v>0</v>
      </c>
      <c r="J44" s="234"/>
      <c r="K44" s="68">
        <v>0</v>
      </c>
      <c r="L44" s="69">
        <f t="shared" si="13"/>
        <v>0</v>
      </c>
      <c r="M44" s="66">
        <f t="shared" si="13"/>
        <v>0</v>
      </c>
      <c r="N44" s="66">
        <f t="shared" si="13"/>
        <v>0</v>
      </c>
      <c r="O44" s="66">
        <f t="shared" si="13"/>
        <v>0</v>
      </c>
      <c r="P44" s="66">
        <f t="shared" si="13"/>
        <v>0</v>
      </c>
      <c r="Q44" s="67">
        <f t="shared" si="13"/>
        <v>0</v>
      </c>
      <c r="S44" s="68">
        <v>0</v>
      </c>
      <c r="T44" s="66">
        <f t="shared" si="14"/>
        <v>0</v>
      </c>
      <c r="U44" s="66">
        <f t="shared" si="14"/>
        <v>0</v>
      </c>
      <c r="V44" s="66">
        <f t="shared" si="14"/>
        <v>0</v>
      </c>
      <c r="W44" s="66">
        <f t="shared" si="14"/>
        <v>0</v>
      </c>
      <c r="X44" s="66">
        <f t="shared" si="14"/>
        <v>0</v>
      </c>
      <c r="Y44" s="67">
        <f t="shared" si="14"/>
        <v>0</v>
      </c>
      <c r="Z44" s="234"/>
      <c r="AA44" s="68">
        <v>0</v>
      </c>
      <c r="AB44" s="66">
        <f t="shared" si="15"/>
        <v>0</v>
      </c>
      <c r="AC44" s="66">
        <f t="shared" si="15"/>
        <v>0</v>
      </c>
      <c r="AD44" s="66">
        <f t="shared" si="15"/>
        <v>0</v>
      </c>
      <c r="AE44" s="66">
        <f t="shared" si="15"/>
        <v>0</v>
      </c>
      <c r="AF44" s="66">
        <f t="shared" si="15"/>
        <v>0</v>
      </c>
      <c r="AG44" s="67">
        <f t="shared" si="15"/>
        <v>0</v>
      </c>
    </row>
    <row r="45" spans="2:33" ht="30" x14ac:dyDescent="0.25">
      <c r="B45" s="79" t="s">
        <v>150</v>
      </c>
      <c r="C45" s="77">
        <v>0</v>
      </c>
      <c r="D45" s="66">
        <f t="shared" si="12"/>
        <v>0</v>
      </c>
      <c r="E45" s="66">
        <f t="shared" si="12"/>
        <v>0</v>
      </c>
      <c r="F45" s="66">
        <f t="shared" si="12"/>
        <v>0</v>
      </c>
      <c r="G45" s="66">
        <f t="shared" si="12"/>
        <v>0</v>
      </c>
      <c r="H45" s="66">
        <f t="shared" si="12"/>
        <v>0</v>
      </c>
      <c r="I45" s="66">
        <f t="shared" si="12"/>
        <v>0</v>
      </c>
      <c r="J45" s="234"/>
      <c r="K45" s="68">
        <v>0</v>
      </c>
      <c r="L45" s="69">
        <f t="shared" si="13"/>
        <v>0</v>
      </c>
      <c r="M45" s="66">
        <f t="shared" si="13"/>
        <v>0</v>
      </c>
      <c r="N45" s="66">
        <f t="shared" si="13"/>
        <v>0</v>
      </c>
      <c r="O45" s="66">
        <f t="shared" si="13"/>
        <v>0</v>
      </c>
      <c r="P45" s="66">
        <f t="shared" si="13"/>
        <v>0</v>
      </c>
      <c r="Q45" s="67">
        <f t="shared" si="13"/>
        <v>0</v>
      </c>
      <c r="S45" s="68">
        <v>0</v>
      </c>
      <c r="T45" s="66">
        <f t="shared" si="14"/>
        <v>0</v>
      </c>
      <c r="U45" s="66">
        <f t="shared" si="14"/>
        <v>0</v>
      </c>
      <c r="V45" s="66">
        <f t="shared" si="14"/>
        <v>0</v>
      </c>
      <c r="W45" s="66">
        <f t="shared" si="14"/>
        <v>0</v>
      </c>
      <c r="X45" s="66">
        <f t="shared" si="14"/>
        <v>0</v>
      </c>
      <c r="Y45" s="67">
        <f t="shared" si="14"/>
        <v>0</v>
      </c>
      <c r="Z45" s="234"/>
      <c r="AA45" s="68">
        <v>0</v>
      </c>
      <c r="AB45" s="66">
        <f t="shared" si="15"/>
        <v>0</v>
      </c>
      <c r="AC45" s="66">
        <f t="shared" si="15"/>
        <v>0</v>
      </c>
      <c r="AD45" s="66">
        <f t="shared" si="15"/>
        <v>0</v>
      </c>
      <c r="AE45" s="66">
        <f t="shared" si="15"/>
        <v>0</v>
      </c>
      <c r="AF45" s="66">
        <f t="shared" si="15"/>
        <v>0</v>
      </c>
      <c r="AG45" s="67">
        <f t="shared" si="15"/>
        <v>0</v>
      </c>
    </row>
    <row r="46" spans="2:33" ht="30.75" thickBot="1" x14ac:dyDescent="0.3">
      <c r="B46" s="83" t="s">
        <v>151</v>
      </c>
      <c r="C46" s="81">
        <v>0</v>
      </c>
      <c r="D46" s="82">
        <f t="shared" si="12"/>
        <v>0</v>
      </c>
      <c r="E46" s="82">
        <f t="shared" si="12"/>
        <v>0</v>
      </c>
      <c r="F46" s="82">
        <f t="shared" si="12"/>
        <v>0</v>
      </c>
      <c r="G46" s="82">
        <f t="shared" si="12"/>
        <v>0</v>
      </c>
      <c r="H46" s="82">
        <f t="shared" si="12"/>
        <v>0</v>
      </c>
      <c r="I46" s="82">
        <f t="shared" si="12"/>
        <v>0</v>
      </c>
      <c r="J46" s="234"/>
      <c r="K46" s="74">
        <v>0</v>
      </c>
      <c r="L46" s="75">
        <f t="shared" si="13"/>
        <v>0</v>
      </c>
      <c r="M46" s="72">
        <f t="shared" si="13"/>
        <v>0</v>
      </c>
      <c r="N46" s="72">
        <f t="shared" si="13"/>
        <v>0</v>
      </c>
      <c r="O46" s="72">
        <f t="shared" si="13"/>
        <v>0</v>
      </c>
      <c r="P46" s="72">
        <f t="shared" si="13"/>
        <v>0</v>
      </c>
      <c r="Q46" s="73">
        <f t="shared" si="13"/>
        <v>0</v>
      </c>
      <c r="S46" s="74">
        <v>0</v>
      </c>
      <c r="T46" s="72">
        <f t="shared" si="14"/>
        <v>0</v>
      </c>
      <c r="U46" s="72">
        <f t="shared" si="14"/>
        <v>0</v>
      </c>
      <c r="V46" s="72">
        <f t="shared" si="14"/>
        <v>0</v>
      </c>
      <c r="W46" s="72">
        <f t="shared" si="14"/>
        <v>0</v>
      </c>
      <c r="X46" s="72">
        <f t="shared" si="14"/>
        <v>0</v>
      </c>
      <c r="Y46" s="73">
        <f t="shared" si="14"/>
        <v>0</v>
      </c>
      <c r="Z46" s="234"/>
      <c r="AA46" s="74">
        <v>0</v>
      </c>
      <c r="AB46" s="72">
        <f t="shared" si="15"/>
        <v>0</v>
      </c>
      <c r="AC46" s="72">
        <f t="shared" si="15"/>
        <v>0</v>
      </c>
      <c r="AD46" s="72">
        <f t="shared" si="15"/>
        <v>0</v>
      </c>
      <c r="AE46" s="72">
        <f t="shared" si="15"/>
        <v>0</v>
      </c>
      <c r="AF46" s="72">
        <f t="shared" si="15"/>
        <v>0</v>
      </c>
      <c r="AG46" s="73">
        <f t="shared" si="15"/>
        <v>0</v>
      </c>
    </row>
    <row r="47" spans="2:33" x14ac:dyDescent="0.25">
      <c r="B47" s="76" t="s">
        <v>152</v>
      </c>
      <c r="C47" s="60">
        <v>0</v>
      </c>
      <c r="D47" s="61">
        <f t="shared" si="12"/>
        <v>0</v>
      </c>
      <c r="E47" s="61">
        <f t="shared" si="12"/>
        <v>0</v>
      </c>
      <c r="F47" s="61">
        <f t="shared" si="12"/>
        <v>0</v>
      </c>
      <c r="G47" s="61">
        <f t="shared" si="12"/>
        <v>0</v>
      </c>
      <c r="H47" s="61">
        <f t="shared" si="12"/>
        <v>0</v>
      </c>
      <c r="I47" s="62">
        <f t="shared" si="12"/>
        <v>0</v>
      </c>
      <c r="J47" s="234"/>
      <c r="K47" s="60">
        <v>0</v>
      </c>
      <c r="L47" s="63">
        <f t="shared" si="13"/>
        <v>0</v>
      </c>
      <c r="M47" s="61">
        <f t="shared" si="13"/>
        <v>0</v>
      </c>
      <c r="N47" s="61">
        <f t="shared" si="13"/>
        <v>0</v>
      </c>
      <c r="O47" s="61">
        <f t="shared" si="13"/>
        <v>0</v>
      </c>
      <c r="P47" s="61">
        <f t="shared" si="13"/>
        <v>0</v>
      </c>
      <c r="Q47" s="62">
        <f t="shared" si="13"/>
        <v>0</v>
      </c>
      <c r="S47" s="60">
        <v>0</v>
      </c>
      <c r="T47" s="61">
        <f t="shared" si="14"/>
        <v>0</v>
      </c>
      <c r="U47" s="61">
        <f t="shared" si="14"/>
        <v>0</v>
      </c>
      <c r="V47" s="61">
        <f t="shared" si="14"/>
        <v>0</v>
      </c>
      <c r="W47" s="61">
        <f t="shared" si="14"/>
        <v>0</v>
      </c>
      <c r="X47" s="61">
        <f t="shared" si="14"/>
        <v>0</v>
      </c>
      <c r="Y47" s="62">
        <f t="shared" si="14"/>
        <v>0</v>
      </c>
      <c r="Z47" s="234"/>
      <c r="AA47" s="60">
        <v>0</v>
      </c>
      <c r="AB47" s="61">
        <f t="shared" si="15"/>
        <v>0</v>
      </c>
      <c r="AC47" s="61">
        <f t="shared" si="15"/>
        <v>0</v>
      </c>
      <c r="AD47" s="61">
        <f t="shared" si="15"/>
        <v>0</v>
      </c>
      <c r="AE47" s="61">
        <f t="shared" si="15"/>
        <v>0</v>
      </c>
      <c r="AF47" s="61">
        <f t="shared" si="15"/>
        <v>0</v>
      </c>
      <c r="AG47" s="62">
        <f t="shared" si="15"/>
        <v>0</v>
      </c>
    </row>
    <row r="48" spans="2:33" x14ac:dyDescent="0.25">
      <c r="B48" s="79" t="s">
        <v>153</v>
      </c>
      <c r="C48" s="65">
        <v>0</v>
      </c>
      <c r="D48" s="66">
        <f t="shared" si="12"/>
        <v>0</v>
      </c>
      <c r="E48" s="66">
        <f t="shared" si="12"/>
        <v>0</v>
      </c>
      <c r="F48" s="66">
        <f t="shared" si="12"/>
        <v>0</v>
      </c>
      <c r="G48" s="66">
        <f t="shared" si="12"/>
        <v>0</v>
      </c>
      <c r="H48" s="66">
        <f t="shared" si="12"/>
        <v>0</v>
      </c>
      <c r="I48" s="67">
        <f t="shared" si="12"/>
        <v>0</v>
      </c>
      <c r="J48" s="234"/>
      <c r="K48" s="68">
        <v>0</v>
      </c>
      <c r="L48" s="69">
        <f t="shared" si="13"/>
        <v>0</v>
      </c>
      <c r="M48" s="66">
        <f t="shared" si="13"/>
        <v>0</v>
      </c>
      <c r="N48" s="66">
        <f t="shared" si="13"/>
        <v>0</v>
      </c>
      <c r="O48" s="66">
        <f t="shared" si="13"/>
        <v>0</v>
      </c>
      <c r="P48" s="66">
        <f t="shared" si="13"/>
        <v>0</v>
      </c>
      <c r="Q48" s="67">
        <f t="shared" si="13"/>
        <v>0</v>
      </c>
      <c r="S48" s="68">
        <v>0</v>
      </c>
      <c r="T48" s="66">
        <f t="shared" si="14"/>
        <v>0</v>
      </c>
      <c r="U48" s="66">
        <f t="shared" si="14"/>
        <v>0</v>
      </c>
      <c r="V48" s="66">
        <f t="shared" si="14"/>
        <v>0</v>
      </c>
      <c r="W48" s="66">
        <f t="shared" si="14"/>
        <v>0</v>
      </c>
      <c r="X48" s="66">
        <f t="shared" si="14"/>
        <v>0</v>
      </c>
      <c r="Y48" s="67">
        <f t="shared" si="14"/>
        <v>0</v>
      </c>
      <c r="Z48" s="234"/>
      <c r="AA48" s="68">
        <v>0</v>
      </c>
      <c r="AB48" s="66">
        <f t="shared" si="15"/>
        <v>0</v>
      </c>
      <c r="AC48" s="66">
        <f t="shared" si="15"/>
        <v>0</v>
      </c>
      <c r="AD48" s="66">
        <f t="shared" si="15"/>
        <v>0</v>
      </c>
      <c r="AE48" s="66">
        <f t="shared" si="15"/>
        <v>0</v>
      </c>
      <c r="AF48" s="66">
        <f t="shared" si="15"/>
        <v>0</v>
      </c>
      <c r="AG48" s="67">
        <f t="shared" si="15"/>
        <v>0</v>
      </c>
    </row>
    <row r="49" spans="2:33" x14ac:dyDescent="0.25">
      <c r="B49" s="79" t="s">
        <v>154</v>
      </c>
      <c r="C49" s="65">
        <v>0</v>
      </c>
      <c r="D49" s="66">
        <f t="shared" si="12"/>
        <v>0</v>
      </c>
      <c r="E49" s="66">
        <f t="shared" si="12"/>
        <v>0</v>
      </c>
      <c r="F49" s="66">
        <f t="shared" si="12"/>
        <v>0</v>
      </c>
      <c r="G49" s="66">
        <f t="shared" si="12"/>
        <v>0</v>
      </c>
      <c r="H49" s="66">
        <f t="shared" si="12"/>
        <v>0</v>
      </c>
      <c r="I49" s="67">
        <f t="shared" si="12"/>
        <v>0</v>
      </c>
      <c r="J49" s="234"/>
      <c r="K49" s="68">
        <v>0</v>
      </c>
      <c r="L49" s="69">
        <f t="shared" si="13"/>
        <v>0</v>
      </c>
      <c r="M49" s="66">
        <f t="shared" si="13"/>
        <v>0</v>
      </c>
      <c r="N49" s="66">
        <f t="shared" si="13"/>
        <v>0</v>
      </c>
      <c r="O49" s="66">
        <f t="shared" si="13"/>
        <v>0</v>
      </c>
      <c r="P49" s="66">
        <f t="shared" si="13"/>
        <v>0</v>
      </c>
      <c r="Q49" s="67">
        <f t="shared" si="13"/>
        <v>0</v>
      </c>
      <c r="S49" s="68">
        <v>0</v>
      </c>
      <c r="T49" s="66">
        <f t="shared" si="14"/>
        <v>0</v>
      </c>
      <c r="U49" s="66">
        <f t="shared" si="14"/>
        <v>0</v>
      </c>
      <c r="V49" s="66">
        <f t="shared" si="14"/>
        <v>0</v>
      </c>
      <c r="W49" s="66">
        <f t="shared" si="14"/>
        <v>0</v>
      </c>
      <c r="X49" s="66">
        <f t="shared" si="14"/>
        <v>0</v>
      </c>
      <c r="Y49" s="67">
        <f t="shared" si="14"/>
        <v>0</v>
      </c>
      <c r="Z49" s="234"/>
      <c r="AA49" s="68">
        <v>0</v>
      </c>
      <c r="AB49" s="66">
        <f t="shared" si="15"/>
        <v>0</v>
      </c>
      <c r="AC49" s="66">
        <f t="shared" si="15"/>
        <v>0</v>
      </c>
      <c r="AD49" s="66">
        <f t="shared" si="15"/>
        <v>0</v>
      </c>
      <c r="AE49" s="66">
        <f t="shared" si="15"/>
        <v>0</v>
      </c>
      <c r="AF49" s="66">
        <f t="shared" si="15"/>
        <v>0</v>
      </c>
      <c r="AG49" s="67">
        <f t="shared" si="15"/>
        <v>0</v>
      </c>
    </row>
    <row r="50" spans="2:33" ht="15.75" thickBot="1" x14ac:dyDescent="0.3">
      <c r="B50" s="80" t="s">
        <v>155</v>
      </c>
      <c r="C50" s="71">
        <v>0</v>
      </c>
      <c r="D50" s="72">
        <f t="shared" si="12"/>
        <v>0</v>
      </c>
      <c r="E50" s="72">
        <f t="shared" si="12"/>
        <v>0</v>
      </c>
      <c r="F50" s="72">
        <f t="shared" si="12"/>
        <v>0</v>
      </c>
      <c r="G50" s="72">
        <f t="shared" si="12"/>
        <v>0</v>
      </c>
      <c r="H50" s="72">
        <f t="shared" si="12"/>
        <v>0</v>
      </c>
      <c r="I50" s="73">
        <f t="shared" si="12"/>
        <v>0</v>
      </c>
      <c r="J50" s="234"/>
      <c r="K50" s="74">
        <v>0</v>
      </c>
      <c r="L50" s="75">
        <f t="shared" si="13"/>
        <v>0</v>
      </c>
      <c r="M50" s="72">
        <f t="shared" si="13"/>
        <v>0</v>
      </c>
      <c r="N50" s="72">
        <f t="shared" si="13"/>
        <v>0</v>
      </c>
      <c r="O50" s="72">
        <f t="shared" si="13"/>
        <v>0</v>
      </c>
      <c r="P50" s="72">
        <f t="shared" si="13"/>
        <v>0</v>
      </c>
      <c r="Q50" s="73">
        <f t="shared" si="13"/>
        <v>0</v>
      </c>
      <c r="S50" s="74">
        <v>0</v>
      </c>
      <c r="T50" s="72">
        <f t="shared" si="14"/>
        <v>0</v>
      </c>
      <c r="U50" s="72">
        <f t="shared" si="14"/>
        <v>0</v>
      </c>
      <c r="V50" s="72">
        <f t="shared" si="14"/>
        <v>0</v>
      </c>
      <c r="W50" s="72">
        <f t="shared" si="14"/>
        <v>0</v>
      </c>
      <c r="X50" s="72">
        <f t="shared" si="14"/>
        <v>0</v>
      </c>
      <c r="Y50" s="73">
        <f t="shared" si="14"/>
        <v>0</v>
      </c>
      <c r="Z50" s="234"/>
      <c r="AA50" s="74">
        <v>0</v>
      </c>
      <c r="AB50" s="72">
        <f t="shared" si="15"/>
        <v>0</v>
      </c>
      <c r="AC50" s="72">
        <f t="shared" si="15"/>
        <v>0</v>
      </c>
      <c r="AD50" s="72">
        <f t="shared" si="15"/>
        <v>0</v>
      </c>
      <c r="AE50" s="72">
        <f t="shared" si="15"/>
        <v>0</v>
      </c>
      <c r="AF50" s="72">
        <f t="shared" si="15"/>
        <v>0</v>
      </c>
      <c r="AG50" s="73">
        <f t="shared" si="15"/>
        <v>0</v>
      </c>
    </row>
    <row r="51" spans="2:33" x14ac:dyDescent="0.25">
      <c r="B51" s="85" t="s">
        <v>156</v>
      </c>
      <c r="C51" s="86">
        <v>0</v>
      </c>
      <c r="D51" s="78">
        <f t="shared" si="12"/>
        <v>0</v>
      </c>
      <c r="E51" s="78">
        <f t="shared" si="12"/>
        <v>0</v>
      </c>
      <c r="F51" s="78">
        <f t="shared" si="12"/>
        <v>0</v>
      </c>
      <c r="G51" s="78">
        <f t="shared" si="12"/>
        <v>0</v>
      </c>
      <c r="H51" s="78">
        <f t="shared" si="12"/>
        <v>0</v>
      </c>
      <c r="I51" s="78">
        <f t="shared" si="12"/>
        <v>0</v>
      </c>
      <c r="J51" s="234"/>
      <c r="K51" s="60">
        <v>0</v>
      </c>
      <c r="L51" s="63">
        <f t="shared" si="13"/>
        <v>0</v>
      </c>
      <c r="M51" s="61">
        <f t="shared" si="13"/>
        <v>0</v>
      </c>
      <c r="N51" s="61">
        <f t="shared" si="13"/>
        <v>0</v>
      </c>
      <c r="O51" s="61">
        <f t="shared" si="13"/>
        <v>0</v>
      </c>
      <c r="P51" s="61">
        <f t="shared" si="13"/>
        <v>0</v>
      </c>
      <c r="Q51" s="62">
        <f t="shared" si="13"/>
        <v>0</v>
      </c>
      <c r="S51" s="60">
        <v>0</v>
      </c>
      <c r="T51" s="61">
        <f t="shared" si="14"/>
        <v>0</v>
      </c>
      <c r="U51" s="61">
        <f t="shared" si="14"/>
        <v>0</v>
      </c>
      <c r="V51" s="61">
        <f t="shared" si="14"/>
        <v>0</v>
      </c>
      <c r="W51" s="61">
        <f t="shared" si="14"/>
        <v>0</v>
      </c>
      <c r="X51" s="61">
        <f t="shared" si="14"/>
        <v>0</v>
      </c>
      <c r="Y51" s="62">
        <f t="shared" si="14"/>
        <v>0</v>
      </c>
      <c r="Z51" s="234"/>
      <c r="AA51" s="60">
        <v>0</v>
      </c>
      <c r="AB51" s="61">
        <f t="shared" si="15"/>
        <v>0</v>
      </c>
      <c r="AC51" s="61">
        <f t="shared" si="15"/>
        <v>0</v>
      </c>
      <c r="AD51" s="61">
        <f t="shared" si="15"/>
        <v>0</v>
      </c>
      <c r="AE51" s="61">
        <f t="shared" si="15"/>
        <v>0</v>
      </c>
      <c r="AF51" s="61">
        <f t="shared" si="15"/>
        <v>0</v>
      </c>
      <c r="AG51" s="62">
        <f t="shared" si="15"/>
        <v>0</v>
      </c>
    </row>
    <row r="52" spans="2:33" x14ac:dyDescent="0.25">
      <c r="B52" s="87" t="s">
        <v>157</v>
      </c>
      <c r="C52" s="86">
        <v>0</v>
      </c>
      <c r="D52" s="66">
        <f t="shared" si="12"/>
        <v>0</v>
      </c>
      <c r="E52" s="66">
        <f t="shared" si="12"/>
        <v>0</v>
      </c>
      <c r="F52" s="66">
        <f t="shared" si="12"/>
        <v>0</v>
      </c>
      <c r="G52" s="66">
        <f t="shared" si="12"/>
        <v>0</v>
      </c>
      <c r="H52" s="66">
        <f t="shared" si="12"/>
        <v>0</v>
      </c>
      <c r="I52" s="66">
        <f t="shared" si="12"/>
        <v>0</v>
      </c>
      <c r="J52" s="234"/>
      <c r="K52" s="68">
        <v>0</v>
      </c>
      <c r="L52" s="69">
        <f t="shared" si="13"/>
        <v>0</v>
      </c>
      <c r="M52" s="66">
        <f t="shared" si="13"/>
        <v>0</v>
      </c>
      <c r="N52" s="66">
        <f t="shared" si="13"/>
        <v>0</v>
      </c>
      <c r="O52" s="66">
        <f t="shared" si="13"/>
        <v>0</v>
      </c>
      <c r="P52" s="66">
        <f t="shared" si="13"/>
        <v>0</v>
      </c>
      <c r="Q52" s="67">
        <f t="shared" si="13"/>
        <v>0</v>
      </c>
      <c r="S52" s="68">
        <v>0</v>
      </c>
      <c r="T52" s="66">
        <f t="shared" si="14"/>
        <v>0</v>
      </c>
      <c r="U52" s="66">
        <f t="shared" si="14"/>
        <v>0</v>
      </c>
      <c r="V52" s="66">
        <f t="shared" si="14"/>
        <v>0</v>
      </c>
      <c r="W52" s="66">
        <f t="shared" si="14"/>
        <v>0</v>
      </c>
      <c r="X52" s="66">
        <f t="shared" si="14"/>
        <v>0</v>
      </c>
      <c r="Y52" s="67">
        <f t="shared" si="14"/>
        <v>0</v>
      </c>
      <c r="Z52" s="234"/>
      <c r="AA52" s="68">
        <v>0</v>
      </c>
      <c r="AB52" s="66">
        <f t="shared" si="15"/>
        <v>0</v>
      </c>
      <c r="AC52" s="66">
        <f t="shared" si="15"/>
        <v>0</v>
      </c>
      <c r="AD52" s="66">
        <f t="shared" si="15"/>
        <v>0</v>
      </c>
      <c r="AE52" s="66">
        <f t="shared" si="15"/>
        <v>0</v>
      </c>
      <c r="AF52" s="66">
        <f t="shared" si="15"/>
        <v>0</v>
      </c>
      <c r="AG52" s="67">
        <f t="shared" si="15"/>
        <v>0</v>
      </c>
    </row>
    <row r="53" spans="2:33" x14ac:dyDescent="0.25">
      <c r="B53" s="87" t="s">
        <v>158</v>
      </c>
      <c r="C53" s="86">
        <v>0</v>
      </c>
      <c r="D53" s="66">
        <f t="shared" si="12"/>
        <v>0</v>
      </c>
      <c r="E53" s="66">
        <f t="shared" si="12"/>
        <v>0</v>
      </c>
      <c r="F53" s="66">
        <f t="shared" si="12"/>
        <v>0</v>
      </c>
      <c r="G53" s="66">
        <f t="shared" si="12"/>
        <v>0</v>
      </c>
      <c r="H53" s="66">
        <f t="shared" si="12"/>
        <v>0</v>
      </c>
      <c r="I53" s="66">
        <f t="shared" si="12"/>
        <v>0</v>
      </c>
      <c r="J53" s="234"/>
      <c r="K53" s="68">
        <v>0</v>
      </c>
      <c r="L53" s="69">
        <f t="shared" si="13"/>
        <v>0</v>
      </c>
      <c r="M53" s="66">
        <f t="shared" si="13"/>
        <v>0</v>
      </c>
      <c r="N53" s="66">
        <f t="shared" si="13"/>
        <v>0</v>
      </c>
      <c r="O53" s="66">
        <f t="shared" si="13"/>
        <v>0</v>
      </c>
      <c r="P53" s="66">
        <f t="shared" si="13"/>
        <v>0</v>
      </c>
      <c r="Q53" s="67">
        <f t="shared" si="13"/>
        <v>0</v>
      </c>
      <c r="S53" s="68">
        <v>0</v>
      </c>
      <c r="T53" s="66">
        <f t="shared" si="14"/>
        <v>0</v>
      </c>
      <c r="U53" s="66">
        <f t="shared" si="14"/>
        <v>0</v>
      </c>
      <c r="V53" s="66">
        <f t="shared" si="14"/>
        <v>0</v>
      </c>
      <c r="W53" s="66">
        <f t="shared" si="14"/>
        <v>0</v>
      </c>
      <c r="X53" s="66">
        <f t="shared" si="14"/>
        <v>0</v>
      </c>
      <c r="Y53" s="67">
        <f t="shared" si="14"/>
        <v>0</v>
      </c>
      <c r="Z53" s="234"/>
      <c r="AA53" s="68">
        <v>0</v>
      </c>
      <c r="AB53" s="66">
        <f t="shared" si="15"/>
        <v>0</v>
      </c>
      <c r="AC53" s="66">
        <f t="shared" si="15"/>
        <v>0</v>
      </c>
      <c r="AD53" s="66">
        <f t="shared" si="15"/>
        <v>0</v>
      </c>
      <c r="AE53" s="66">
        <f t="shared" si="15"/>
        <v>0</v>
      </c>
      <c r="AF53" s="66">
        <f t="shared" si="15"/>
        <v>0</v>
      </c>
      <c r="AG53" s="67">
        <f t="shared" si="15"/>
        <v>0</v>
      </c>
    </row>
    <row r="54" spans="2:33" ht="15.75" thickBot="1" x14ac:dyDescent="0.3">
      <c r="B54" s="88" t="s">
        <v>159</v>
      </c>
      <c r="C54" s="89">
        <v>0</v>
      </c>
      <c r="D54" s="82">
        <f t="shared" si="12"/>
        <v>0</v>
      </c>
      <c r="E54" s="82">
        <f t="shared" si="12"/>
        <v>0</v>
      </c>
      <c r="F54" s="82">
        <f t="shared" si="12"/>
        <v>0</v>
      </c>
      <c r="G54" s="82">
        <f t="shared" si="12"/>
        <v>0</v>
      </c>
      <c r="H54" s="82">
        <f t="shared" si="12"/>
        <v>0</v>
      </c>
      <c r="I54" s="82">
        <f t="shared" si="12"/>
        <v>0</v>
      </c>
      <c r="J54" s="234"/>
      <c r="K54" s="74">
        <v>0</v>
      </c>
      <c r="L54" s="75">
        <f t="shared" si="13"/>
        <v>0</v>
      </c>
      <c r="M54" s="72">
        <f t="shared" si="13"/>
        <v>0</v>
      </c>
      <c r="N54" s="72">
        <f t="shared" si="13"/>
        <v>0</v>
      </c>
      <c r="O54" s="72">
        <f t="shared" si="13"/>
        <v>0</v>
      </c>
      <c r="P54" s="72">
        <f t="shared" si="13"/>
        <v>0</v>
      </c>
      <c r="Q54" s="73">
        <f t="shared" si="13"/>
        <v>0</v>
      </c>
      <c r="S54" s="74">
        <v>0</v>
      </c>
      <c r="T54" s="72">
        <f t="shared" si="14"/>
        <v>0</v>
      </c>
      <c r="U54" s="72">
        <f t="shared" si="14"/>
        <v>0</v>
      </c>
      <c r="V54" s="72">
        <f t="shared" si="14"/>
        <v>0</v>
      </c>
      <c r="W54" s="72">
        <f t="shared" si="14"/>
        <v>0</v>
      </c>
      <c r="X54" s="72">
        <f t="shared" si="14"/>
        <v>0</v>
      </c>
      <c r="Y54" s="73">
        <f t="shared" si="14"/>
        <v>0</v>
      </c>
      <c r="Z54" s="234"/>
      <c r="AA54" s="74">
        <v>0</v>
      </c>
      <c r="AB54" s="72">
        <f t="shared" si="15"/>
        <v>0</v>
      </c>
      <c r="AC54" s="72">
        <f t="shared" si="15"/>
        <v>0</v>
      </c>
      <c r="AD54" s="72">
        <f t="shared" si="15"/>
        <v>0</v>
      </c>
      <c r="AE54" s="72">
        <f t="shared" si="15"/>
        <v>0</v>
      </c>
      <c r="AF54" s="72">
        <f t="shared" si="15"/>
        <v>0</v>
      </c>
      <c r="AG54" s="73">
        <f t="shared" si="15"/>
        <v>0</v>
      </c>
    </row>
    <row r="55" spans="2:33" x14ac:dyDescent="0.25">
      <c r="B55" s="76" t="s">
        <v>160</v>
      </c>
      <c r="C55" s="60">
        <v>0</v>
      </c>
      <c r="D55" s="61">
        <f t="shared" si="12"/>
        <v>0</v>
      </c>
      <c r="E55" s="61">
        <f t="shared" si="12"/>
        <v>0</v>
      </c>
      <c r="F55" s="61">
        <f t="shared" si="12"/>
        <v>0</v>
      </c>
      <c r="G55" s="61">
        <f t="shared" si="12"/>
        <v>0</v>
      </c>
      <c r="H55" s="61">
        <f t="shared" si="12"/>
        <v>0</v>
      </c>
      <c r="I55" s="62">
        <f t="shared" si="12"/>
        <v>0</v>
      </c>
      <c r="J55" s="234"/>
      <c r="K55" s="60">
        <v>0</v>
      </c>
      <c r="L55" s="63">
        <f t="shared" si="13"/>
        <v>0</v>
      </c>
      <c r="M55" s="61">
        <f t="shared" si="13"/>
        <v>0</v>
      </c>
      <c r="N55" s="61">
        <f t="shared" si="13"/>
        <v>0</v>
      </c>
      <c r="O55" s="61">
        <f t="shared" si="13"/>
        <v>0</v>
      </c>
      <c r="P55" s="61">
        <f t="shared" si="13"/>
        <v>0</v>
      </c>
      <c r="Q55" s="62">
        <f t="shared" si="13"/>
        <v>0</v>
      </c>
      <c r="S55" s="60">
        <v>0</v>
      </c>
      <c r="T55" s="61">
        <f t="shared" si="14"/>
        <v>0</v>
      </c>
      <c r="U55" s="61">
        <f t="shared" si="14"/>
        <v>0</v>
      </c>
      <c r="V55" s="61">
        <f t="shared" si="14"/>
        <v>0</v>
      </c>
      <c r="W55" s="61">
        <f t="shared" si="14"/>
        <v>0</v>
      </c>
      <c r="X55" s="61">
        <f t="shared" si="14"/>
        <v>0</v>
      </c>
      <c r="Y55" s="62">
        <f t="shared" si="14"/>
        <v>0</v>
      </c>
      <c r="Z55" s="234"/>
      <c r="AA55" s="60">
        <v>0</v>
      </c>
      <c r="AB55" s="61">
        <f t="shared" si="15"/>
        <v>0</v>
      </c>
      <c r="AC55" s="61">
        <f t="shared" si="15"/>
        <v>0</v>
      </c>
      <c r="AD55" s="61">
        <f t="shared" si="15"/>
        <v>0</v>
      </c>
      <c r="AE55" s="61">
        <f t="shared" si="15"/>
        <v>0</v>
      </c>
      <c r="AF55" s="61">
        <f t="shared" si="15"/>
        <v>0</v>
      </c>
      <c r="AG55" s="62">
        <f t="shared" si="15"/>
        <v>0</v>
      </c>
    </row>
    <row r="56" spans="2:33" x14ac:dyDescent="0.25">
      <c r="B56" s="79" t="s">
        <v>161</v>
      </c>
      <c r="C56" s="65">
        <v>0</v>
      </c>
      <c r="D56" s="66">
        <f t="shared" ref="D56:I58" si="16">C56*D$4</f>
        <v>0</v>
      </c>
      <c r="E56" s="66">
        <f t="shared" si="16"/>
        <v>0</v>
      </c>
      <c r="F56" s="66">
        <f t="shared" si="16"/>
        <v>0</v>
      </c>
      <c r="G56" s="66">
        <f t="shared" si="16"/>
        <v>0</v>
      </c>
      <c r="H56" s="66">
        <f t="shared" si="16"/>
        <v>0</v>
      </c>
      <c r="I56" s="67">
        <f t="shared" si="16"/>
        <v>0</v>
      </c>
      <c r="J56" s="234"/>
      <c r="K56" s="68">
        <v>0</v>
      </c>
      <c r="L56" s="69">
        <f t="shared" ref="L56:Q58" si="17">K56*L$4</f>
        <v>0</v>
      </c>
      <c r="M56" s="66">
        <f t="shared" si="17"/>
        <v>0</v>
      </c>
      <c r="N56" s="66">
        <f t="shared" si="17"/>
        <v>0</v>
      </c>
      <c r="O56" s="66">
        <f t="shared" si="17"/>
        <v>0</v>
      </c>
      <c r="P56" s="66">
        <f t="shared" si="17"/>
        <v>0</v>
      </c>
      <c r="Q56" s="67">
        <f t="shared" si="17"/>
        <v>0</v>
      </c>
      <c r="S56" s="68">
        <v>0</v>
      </c>
      <c r="T56" s="66">
        <f t="shared" ref="T56:Y58" si="18">S56*T$4</f>
        <v>0</v>
      </c>
      <c r="U56" s="66">
        <f t="shared" si="18"/>
        <v>0</v>
      </c>
      <c r="V56" s="66">
        <f t="shared" si="18"/>
        <v>0</v>
      </c>
      <c r="W56" s="66">
        <f t="shared" si="18"/>
        <v>0</v>
      </c>
      <c r="X56" s="66">
        <f t="shared" si="18"/>
        <v>0</v>
      </c>
      <c r="Y56" s="67">
        <f t="shared" si="18"/>
        <v>0</v>
      </c>
      <c r="Z56" s="234"/>
      <c r="AA56" s="68">
        <v>0</v>
      </c>
      <c r="AB56" s="66">
        <f t="shared" ref="AB56:AG58" si="19">AA56*AB$4</f>
        <v>0</v>
      </c>
      <c r="AC56" s="66">
        <f t="shared" si="19"/>
        <v>0</v>
      </c>
      <c r="AD56" s="66">
        <f t="shared" si="19"/>
        <v>0</v>
      </c>
      <c r="AE56" s="66">
        <f t="shared" si="19"/>
        <v>0</v>
      </c>
      <c r="AF56" s="66">
        <f t="shared" si="19"/>
        <v>0</v>
      </c>
      <c r="AG56" s="67">
        <f t="shared" si="19"/>
        <v>0</v>
      </c>
    </row>
    <row r="57" spans="2:33" x14ac:dyDescent="0.25">
      <c r="B57" s="79" t="s">
        <v>162</v>
      </c>
      <c r="C57" s="65">
        <v>0</v>
      </c>
      <c r="D57" s="66">
        <f t="shared" si="16"/>
        <v>0</v>
      </c>
      <c r="E57" s="66">
        <f t="shared" si="16"/>
        <v>0</v>
      </c>
      <c r="F57" s="66">
        <f t="shared" si="16"/>
        <v>0</v>
      </c>
      <c r="G57" s="66">
        <f t="shared" si="16"/>
        <v>0</v>
      </c>
      <c r="H57" s="66">
        <f t="shared" si="16"/>
        <v>0</v>
      </c>
      <c r="I57" s="67">
        <f t="shared" si="16"/>
        <v>0</v>
      </c>
      <c r="J57" s="234"/>
      <c r="K57" s="68">
        <v>0</v>
      </c>
      <c r="L57" s="69">
        <f t="shared" si="17"/>
        <v>0</v>
      </c>
      <c r="M57" s="66">
        <f t="shared" si="17"/>
        <v>0</v>
      </c>
      <c r="N57" s="66">
        <f t="shared" si="17"/>
        <v>0</v>
      </c>
      <c r="O57" s="66">
        <f t="shared" si="17"/>
        <v>0</v>
      </c>
      <c r="P57" s="66">
        <f t="shared" si="17"/>
        <v>0</v>
      </c>
      <c r="Q57" s="67">
        <f t="shared" si="17"/>
        <v>0</v>
      </c>
      <c r="S57" s="68">
        <v>0</v>
      </c>
      <c r="T57" s="66">
        <f t="shared" si="18"/>
        <v>0</v>
      </c>
      <c r="U57" s="66">
        <f t="shared" si="18"/>
        <v>0</v>
      </c>
      <c r="V57" s="66">
        <f t="shared" si="18"/>
        <v>0</v>
      </c>
      <c r="W57" s="66">
        <f t="shared" si="18"/>
        <v>0</v>
      </c>
      <c r="X57" s="66">
        <f t="shared" si="18"/>
        <v>0</v>
      </c>
      <c r="Y57" s="67">
        <f t="shared" si="18"/>
        <v>0</v>
      </c>
      <c r="Z57" s="234"/>
      <c r="AA57" s="68">
        <v>0</v>
      </c>
      <c r="AB57" s="66">
        <f t="shared" si="19"/>
        <v>0</v>
      </c>
      <c r="AC57" s="66">
        <f t="shared" si="19"/>
        <v>0</v>
      </c>
      <c r="AD57" s="66">
        <f t="shared" si="19"/>
        <v>0</v>
      </c>
      <c r="AE57" s="66">
        <f t="shared" si="19"/>
        <v>0</v>
      </c>
      <c r="AF57" s="66">
        <f t="shared" si="19"/>
        <v>0</v>
      </c>
      <c r="AG57" s="67">
        <f t="shared" si="19"/>
        <v>0</v>
      </c>
    </row>
    <row r="58" spans="2:33" ht="15.75" thickBot="1" x14ac:dyDescent="0.3">
      <c r="B58" s="80" t="s">
        <v>163</v>
      </c>
      <c r="C58" s="71">
        <v>0</v>
      </c>
      <c r="D58" s="72">
        <f t="shared" si="16"/>
        <v>0</v>
      </c>
      <c r="E58" s="72">
        <f t="shared" si="16"/>
        <v>0</v>
      </c>
      <c r="F58" s="72">
        <f t="shared" si="16"/>
        <v>0</v>
      </c>
      <c r="G58" s="72">
        <f t="shared" si="16"/>
        <v>0</v>
      </c>
      <c r="H58" s="72">
        <f t="shared" si="16"/>
        <v>0</v>
      </c>
      <c r="I58" s="73">
        <f t="shared" si="16"/>
        <v>0</v>
      </c>
      <c r="J58" s="235"/>
      <c r="K58" s="74">
        <v>0</v>
      </c>
      <c r="L58" s="75">
        <f t="shared" si="17"/>
        <v>0</v>
      </c>
      <c r="M58" s="72">
        <f t="shared" si="17"/>
        <v>0</v>
      </c>
      <c r="N58" s="72">
        <f t="shared" si="17"/>
        <v>0</v>
      </c>
      <c r="O58" s="72">
        <f t="shared" si="17"/>
        <v>0</v>
      </c>
      <c r="P58" s="72">
        <f t="shared" si="17"/>
        <v>0</v>
      </c>
      <c r="Q58" s="73">
        <f t="shared" si="17"/>
        <v>0</v>
      </c>
      <c r="S58" s="74">
        <v>0</v>
      </c>
      <c r="T58" s="72">
        <f t="shared" si="18"/>
        <v>0</v>
      </c>
      <c r="U58" s="72">
        <f t="shared" si="18"/>
        <v>0</v>
      </c>
      <c r="V58" s="72">
        <f t="shared" si="18"/>
        <v>0</v>
      </c>
      <c r="W58" s="72">
        <f t="shared" si="18"/>
        <v>0</v>
      </c>
      <c r="X58" s="72">
        <f t="shared" si="18"/>
        <v>0</v>
      </c>
      <c r="Y58" s="73">
        <f t="shared" si="18"/>
        <v>0</v>
      </c>
      <c r="Z58" s="235"/>
      <c r="AA58" s="74">
        <v>0</v>
      </c>
      <c r="AB58" s="72">
        <f t="shared" si="19"/>
        <v>0</v>
      </c>
      <c r="AC58" s="72">
        <f t="shared" si="19"/>
        <v>0</v>
      </c>
      <c r="AD58" s="72">
        <f t="shared" si="19"/>
        <v>0</v>
      </c>
      <c r="AE58" s="72">
        <f t="shared" si="19"/>
        <v>0</v>
      </c>
      <c r="AF58" s="72">
        <f t="shared" si="19"/>
        <v>0</v>
      </c>
      <c r="AG58" s="73">
        <f t="shared" si="19"/>
        <v>0</v>
      </c>
    </row>
  </sheetData>
  <mergeCells count="7">
    <mergeCell ref="AA5:AG5"/>
    <mergeCell ref="B4:B5"/>
    <mergeCell ref="J4:J58"/>
    <mergeCell ref="Z4:Z58"/>
    <mergeCell ref="C5:I5"/>
    <mergeCell ref="K5:Q5"/>
    <mergeCell ref="S5:Y5"/>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359AD-CCAE-4285-B6A2-634861B185C9}">
  <dimension ref="B1:L27"/>
  <sheetViews>
    <sheetView tabSelected="1" topLeftCell="A3" zoomScale="80" zoomScaleNormal="80" workbookViewId="0">
      <selection activeCell="E4" sqref="E4"/>
    </sheetView>
  </sheetViews>
  <sheetFormatPr defaultRowHeight="15" x14ac:dyDescent="0.25"/>
  <cols>
    <col min="2" max="2" width="8.5703125" style="138" customWidth="1"/>
    <col min="3" max="3" width="7.85546875" style="138" customWidth="1"/>
    <col min="4" max="4" width="90.5703125" customWidth="1"/>
    <col min="5" max="5" width="17.7109375" customWidth="1"/>
    <col min="6" max="6" width="19.42578125" customWidth="1"/>
    <col min="10" max="10" width="50.5703125" customWidth="1"/>
    <col min="11" max="11" width="16.7109375" customWidth="1"/>
    <col min="12" max="12" width="21.140625" customWidth="1"/>
  </cols>
  <sheetData>
    <row r="1" spans="2:12" ht="15.75" thickBot="1" x14ac:dyDescent="0.3">
      <c r="B1" s="239"/>
      <c r="C1" s="239"/>
      <c r="D1" s="239"/>
      <c r="E1" s="239"/>
    </row>
    <row r="2" spans="2:12" ht="24" thickBot="1" x14ac:dyDescent="0.4">
      <c r="B2" s="90"/>
      <c r="C2" s="91"/>
      <c r="D2" s="92" t="s">
        <v>164</v>
      </c>
      <c r="E2" s="93"/>
      <c r="F2" s="94"/>
      <c r="H2" s="90"/>
      <c r="I2" s="91"/>
      <c r="J2" s="92" t="s">
        <v>431</v>
      </c>
      <c r="K2" s="93"/>
      <c r="L2" s="94"/>
    </row>
    <row r="3" spans="2:12" ht="32.25" thickBot="1" x14ac:dyDescent="0.3">
      <c r="B3" s="95" t="s">
        <v>8</v>
      </c>
      <c r="C3" s="96" t="s">
        <v>165</v>
      </c>
      <c r="D3" s="96" t="s">
        <v>166</v>
      </c>
      <c r="E3" s="96" t="s">
        <v>167</v>
      </c>
      <c r="F3" s="97" t="s">
        <v>168</v>
      </c>
      <c r="H3" s="95" t="s">
        <v>8</v>
      </c>
      <c r="I3" s="96" t="s">
        <v>165</v>
      </c>
      <c r="J3" s="96" t="s">
        <v>432</v>
      </c>
      <c r="K3" s="96" t="s">
        <v>167</v>
      </c>
      <c r="L3" s="97" t="s">
        <v>168</v>
      </c>
    </row>
    <row r="4" spans="2:12" ht="53.1" customHeight="1" x14ac:dyDescent="0.25">
      <c r="B4" s="98" t="s">
        <v>169</v>
      </c>
      <c r="C4" s="99"/>
      <c r="D4" s="100" t="s">
        <v>170</v>
      </c>
      <c r="E4" s="101" t="s">
        <v>171</v>
      </c>
      <c r="F4" s="102" t="s">
        <v>172</v>
      </c>
      <c r="H4" s="98" t="s">
        <v>169</v>
      </c>
      <c r="I4" s="99"/>
      <c r="J4" s="100" t="s">
        <v>170</v>
      </c>
      <c r="K4" s="101" t="s">
        <v>171</v>
      </c>
      <c r="L4" s="102" t="s">
        <v>172</v>
      </c>
    </row>
    <row r="5" spans="2:12" ht="33" customHeight="1" x14ac:dyDescent="0.25">
      <c r="B5" s="103" t="s">
        <v>169</v>
      </c>
      <c r="C5" s="104" t="s">
        <v>173</v>
      </c>
      <c r="D5" s="105" t="s">
        <v>174</v>
      </c>
      <c r="E5" s="106" t="s">
        <v>175</v>
      </c>
      <c r="F5" s="107" t="s">
        <v>176</v>
      </c>
      <c r="H5" s="103" t="s">
        <v>169</v>
      </c>
      <c r="I5" s="104" t="s">
        <v>173</v>
      </c>
      <c r="J5" s="105" t="s">
        <v>174</v>
      </c>
      <c r="K5" s="106" t="s">
        <v>175</v>
      </c>
      <c r="L5" s="107" t="s">
        <v>176</v>
      </c>
    </row>
    <row r="6" spans="2:12" ht="25.35" customHeight="1" x14ac:dyDescent="0.25">
      <c r="B6" s="103" t="s">
        <v>169</v>
      </c>
      <c r="C6" s="104" t="s">
        <v>177</v>
      </c>
      <c r="D6" s="105" t="s">
        <v>178</v>
      </c>
      <c r="E6" s="108" t="s">
        <v>176</v>
      </c>
      <c r="F6" s="107" t="s">
        <v>176</v>
      </c>
      <c r="H6" s="103" t="s">
        <v>169</v>
      </c>
      <c r="I6" s="104" t="s">
        <v>177</v>
      </c>
      <c r="J6" s="105" t="s">
        <v>178</v>
      </c>
      <c r="K6" s="108" t="s">
        <v>176</v>
      </c>
      <c r="L6" s="107" t="s">
        <v>176</v>
      </c>
    </row>
    <row r="7" spans="2:12" ht="25.35" customHeight="1" x14ac:dyDescent="0.25">
      <c r="B7" s="103" t="s">
        <v>169</v>
      </c>
      <c r="C7" s="104" t="s">
        <v>179</v>
      </c>
      <c r="D7" s="105" t="s">
        <v>180</v>
      </c>
      <c r="E7" s="108" t="s">
        <v>176</v>
      </c>
      <c r="F7" s="107" t="s">
        <v>176</v>
      </c>
      <c r="H7" s="103" t="s">
        <v>169</v>
      </c>
      <c r="I7" s="104" t="s">
        <v>179</v>
      </c>
      <c r="J7" s="105" t="s">
        <v>180</v>
      </c>
      <c r="K7" s="108" t="s">
        <v>176</v>
      </c>
      <c r="L7" s="107" t="s">
        <v>176</v>
      </c>
    </row>
    <row r="8" spans="2:12" ht="25.35" customHeight="1" x14ac:dyDescent="0.25">
      <c r="B8" s="103" t="s">
        <v>169</v>
      </c>
      <c r="C8" s="104" t="s">
        <v>181</v>
      </c>
      <c r="D8" s="105" t="s">
        <v>182</v>
      </c>
      <c r="E8" s="108" t="s">
        <v>176</v>
      </c>
      <c r="F8" s="107" t="s">
        <v>176</v>
      </c>
      <c r="H8" s="103" t="s">
        <v>169</v>
      </c>
      <c r="I8" s="104" t="s">
        <v>181</v>
      </c>
      <c r="J8" s="105" t="s">
        <v>182</v>
      </c>
      <c r="K8" s="108" t="s">
        <v>176</v>
      </c>
      <c r="L8" s="107" t="s">
        <v>176</v>
      </c>
    </row>
    <row r="9" spans="2:12" ht="25.35" customHeight="1" x14ac:dyDescent="0.25">
      <c r="B9" s="103" t="s">
        <v>169</v>
      </c>
      <c r="C9" s="104" t="s">
        <v>183</v>
      </c>
      <c r="D9" s="105" t="s">
        <v>184</v>
      </c>
      <c r="E9" s="108" t="s">
        <v>176</v>
      </c>
      <c r="F9" s="107" t="s">
        <v>176</v>
      </c>
      <c r="H9" s="103" t="s">
        <v>169</v>
      </c>
      <c r="I9" s="104" t="s">
        <v>183</v>
      </c>
      <c r="J9" s="105" t="s">
        <v>184</v>
      </c>
      <c r="K9" s="108" t="s">
        <v>176</v>
      </c>
      <c r="L9" s="107" t="s">
        <v>176</v>
      </c>
    </row>
    <row r="10" spans="2:12" ht="25.35" customHeight="1" thickBot="1" x14ac:dyDescent="0.3">
      <c r="B10" s="109" t="s">
        <v>169</v>
      </c>
      <c r="C10" s="110" t="s">
        <v>185</v>
      </c>
      <c r="D10" s="111" t="s">
        <v>186</v>
      </c>
      <c r="E10" s="112" t="s">
        <v>187</v>
      </c>
      <c r="F10" s="113" t="s">
        <v>188</v>
      </c>
      <c r="H10" s="109" t="s">
        <v>169</v>
      </c>
      <c r="I10" s="110" t="s">
        <v>185</v>
      </c>
      <c r="J10" s="111" t="s">
        <v>186</v>
      </c>
      <c r="K10" s="112" t="s">
        <v>187</v>
      </c>
      <c r="L10" s="113" t="s">
        <v>188</v>
      </c>
    </row>
    <row r="11" spans="2:12" ht="100.7" customHeight="1" thickBot="1" x14ac:dyDescent="0.3">
      <c r="B11" s="114" t="s">
        <v>189</v>
      </c>
      <c r="C11" s="115"/>
      <c r="D11" s="116" t="s">
        <v>190</v>
      </c>
      <c r="E11" s="117" t="s">
        <v>191</v>
      </c>
      <c r="F11" s="118" t="s">
        <v>192</v>
      </c>
      <c r="H11" s="114" t="s">
        <v>189</v>
      </c>
      <c r="I11" s="115"/>
      <c r="J11" s="116" t="s">
        <v>190</v>
      </c>
      <c r="K11" s="117" t="s">
        <v>191</v>
      </c>
      <c r="L11" s="118" t="s">
        <v>192</v>
      </c>
    </row>
    <row r="12" spans="2:12" ht="25.35" customHeight="1" x14ac:dyDescent="0.25">
      <c r="B12" s="119" t="s">
        <v>193</v>
      </c>
      <c r="C12" s="120"/>
      <c r="D12" s="100" t="s">
        <v>194</v>
      </c>
      <c r="E12" s="121"/>
      <c r="F12" s="122"/>
      <c r="H12" s="119" t="s">
        <v>193</v>
      </c>
      <c r="I12" s="120"/>
      <c r="J12" s="100" t="s">
        <v>194</v>
      </c>
      <c r="K12" s="121"/>
      <c r="L12" s="122"/>
    </row>
    <row r="13" spans="2:12" ht="25.35" customHeight="1" x14ac:dyDescent="0.25">
      <c r="B13" s="103" t="s">
        <v>193</v>
      </c>
      <c r="C13" s="104" t="s">
        <v>173</v>
      </c>
      <c r="D13" s="105" t="s">
        <v>195</v>
      </c>
      <c r="E13" s="106" t="s">
        <v>196</v>
      </c>
      <c r="F13" s="123" t="s">
        <v>188</v>
      </c>
      <c r="H13" s="103" t="s">
        <v>193</v>
      </c>
      <c r="I13" s="104" t="s">
        <v>173</v>
      </c>
      <c r="J13" s="105" t="s">
        <v>195</v>
      </c>
      <c r="K13" s="106" t="s">
        <v>196</v>
      </c>
      <c r="L13" s="123" t="s">
        <v>188</v>
      </c>
    </row>
    <row r="14" spans="2:12" ht="25.35" customHeight="1" x14ac:dyDescent="0.25">
      <c r="B14" s="103" t="s">
        <v>193</v>
      </c>
      <c r="C14" s="104" t="s">
        <v>177</v>
      </c>
      <c r="D14" s="105" t="s">
        <v>197</v>
      </c>
      <c r="E14" s="106" t="s">
        <v>196</v>
      </c>
      <c r="F14" s="123" t="s">
        <v>188</v>
      </c>
      <c r="H14" s="103" t="s">
        <v>193</v>
      </c>
      <c r="I14" s="104" t="s">
        <v>177</v>
      </c>
      <c r="J14" s="105" t="s">
        <v>197</v>
      </c>
      <c r="K14" s="106" t="s">
        <v>196</v>
      </c>
      <c r="L14" s="123" t="s">
        <v>188</v>
      </c>
    </row>
    <row r="15" spans="2:12" ht="25.35" customHeight="1" thickBot="1" x14ac:dyDescent="0.3">
      <c r="B15" s="103" t="s">
        <v>193</v>
      </c>
      <c r="C15" s="104" t="s">
        <v>179</v>
      </c>
      <c r="D15" s="105" t="s">
        <v>198</v>
      </c>
      <c r="E15" s="106" t="s">
        <v>199</v>
      </c>
      <c r="F15" s="123" t="s">
        <v>188</v>
      </c>
      <c r="H15" s="103" t="s">
        <v>193</v>
      </c>
      <c r="I15" s="104" t="s">
        <v>179</v>
      </c>
      <c r="J15" s="105" t="s">
        <v>198</v>
      </c>
      <c r="K15" s="106" t="s">
        <v>199</v>
      </c>
      <c r="L15" s="123" t="s">
        <v>188</v>
      </c>
    </row>
    <row r="16" spans="2:12" ht="25.35" customHeight="1" thickBot="1" x14ac:dyDescent="0.3">
      <c r="B16" s="109" t="s">
        <v>193</v>
      </c>
      <c r="C16" s="110" t="s">
        <v>181</v>
      </c>
      <c r="D16" s="111" t="s">
        <v>200</v>
      </c>
      <c r="E16" s="124" t="s">
        <v>187</v>
      </c>
      <c r="F16" s="125" t="s">
        <v>188</v>
      </c>
      <c r="H16" s="126" t="s">
        <v>201</v>
      </c>
      <c r="I16" s="127"/>
      <c r="J16" s="128" t="s">
        <v>202</v>
      </c>
      <c r="K16" s="129" t="s">
        <v>199</v>
      </c>
      <c r="L16" s="130" t="s">
        <v>203</v>
      </c>
    </row>
    <row r="17" spans="2:12" ht="25.35" customHeight="1" thickBot="1" x14ac:dyDescent="0.3">
      <c r="B17" s="126" t="s">
        <v>201</v>
      </c>
      <c r="C17" s="127"/>
      <c r="D17" s="128" t="s">
        <v>202</v>
      </c>
      <c r="E17" s="129" t="s">
        <v>199</v>
      </c>
      <c r="F17" s="130" t="s">
        <v>203</v>
      </c>
      <c r="H17" s="114" t="s">
        <v>204</v>
      </c>
      <c r="I17" s="115"/>
      <c r="J17" s="116" t="s">
        <v>205</v>
      </c>
      <c r="K17" s="131" t="s">
        <v>199</v>
      </c>
      <c r="L17" s="132" t="s">
        <v>203</v>
      </c>
    </row>
    <row r="18" spans="2:12" ht="25.35" customHeight="1" thickBot="1" x14ac:dyDescent="0.3">
      <c r="B18" s="114" t="s">
        <v>204</v>
      </c>
      <c r="C18" s="115"/>
      <c r="D18" s="116" t="s">
        <v>205</v>
      </c>
      <c r="E18" s="131" t="s">
        <v>199</v>
      </c>
      <c r="F18" s="132" t="s">
        <v>203</v>
      </c>
      <c r="H18" s="119" t="s">
        <v>214</v>
      </c>
      <c r="I18" s="120"/>
      <c r="J18" s="100" t="s">
        <v>215</v>
      </c>
      <c r="K18" s="121"/>
      <c r="L18" s="122"/>
    </row>
    <row r="19" spans="2:12" ht="25.35" customHeight="1" thickBot="1" x14ac:dyDescent="0.3">
      <c r="B19" s="114" t="s">
        <v>206</v>
      </c>
      <c r="C19" s="115"/>
      <c r="D19" s="116" t="s">
        <v>207</v>
      </c>
      <c r="E19" s="131" t="s">
        <v>199</v>
      </c>
      <c r="F19" s="132" t="s">
        <v>203</v>
      </c>
      <c r="H19" s="103" t="s">
        <v>214</v>
      </c>
      <c r="I19" s="104" t="s">
        <v>173</v>
      </c>
      <c r="J19" s="105" t="s">
        <v>216</v>
      </c>
      <c r="K19" s="106" t="s">
        <v>219</v>
      </c>
      <c r="L19" s="107" t="s">
        <v>188</v>
      </c>
    </row>
    <row r="20" spans="2:12" ht="25.35" customHeight="1" thickBot="1" x14ac:dyDescent="0.3">
      <c r="B20" s="114" t="s">
        <v>208</v>
      </c>
      <c r="C20" s="115"/>
      <c r="D20" s="116" t="s">
        <v>209</v>
      </c>
      <c r="E20" s="131" t="s">
        <v>187</v>
      </c>
      <c r="F20" s="132" t="s">
        <v>188</v>
      </c>
      <c r="H20" s="103" t="s">
        <v>214</v>
      </c>
      <c r="I20" s="104" t="s">
        <v>177</v>
      </c>
      <c r="J20" s="105" t="s">
        <v>218</v>
      </c>
      <c r="K20" s="108" t="s">
        <v>219</v>
      </c>
      <c r="L20" s="107" t="s">
        <v>188</v>
      </c>
    </row>
    <row r="21" spans="2:12" ht="25.35" customHeight="1" thickBot="1" x14ac:dyDescent="0.3">
      <c r="B21" s="114" t="s">
        <v>210</v>
      </c>
      <c r="C21" s="115"/>
      <c r="D21" s="116" t="s">
        <v>211</v>
      </c>
      <c r="E21" s="131" t="s">
        <v>187</v>
      </c>
      <c r="F21" s="132" t="s">
        <v>203</v>
      </c>
      <c r="H21" s="103" t="s">
        <v>214</v>
      </c>
      <c r="I21" s="104" t="s">
        <v>179</v>
      </c>
      <c r="J21" s="105" t="s">
        <v>220</v>
      </c>
      <c r="K21" s="108" t="s">
        <v>219</v>
      </c>
      <c r="L21" s="107" t="s">
        <v>188</v>
      </c>
    </row>
    <row r="22" spans="2:12" ht="25.35" customHeight="1" thickBot="1" x14ac:dyDescent="0.3">
      <c r="B22" s="133" t="s">
        <v>212</v>
      </c>
      <c r="C22" s="134"/>
      <c r="D22" s="135" t="s">
        <v>213</v>
      </c>
      <c r="E22" s="136" t="s">
        <v>199</v>
      </c>
      <c r="F22" s="137" t="s">
        <v>203</v>
      </c>
      <c r="H22" s="109" t="s">
        <v>214</v>
      </c>
      <c r="I22" s="110" t="s">
        <v>181</v>
      </c>
      <c r="J22" s="111" t="s">
        <v>221</v>
      </c>
      <c r="K22" s="112" t="s">
        <v>219</v>
      </c>
      <c r="L22" s="113" t="s">
        <v>188</v>
      </c>
    </row>
    <row r="23" spans="2:12" ht="25.35" customHeight="1" x14ac:dyDescent="0.25">
      <c r="B23" s="119" t="s">
        <v>214</v>
      </c>
      <c r="C23" s="120"/>
      <c r="D23" s="100" t="s">
        <v>215</v>
      </c>
      <c r="E23" s="121"/>
      <c r="F23" s="122"/>
    </row>
    <row r="24" spans="2:12" ht="48.6" customHeight="1" x14ac:dyDescent="0.25">
      <c r="B24" s="103" t="s">
        <v>214</v>
      </c>
      <c r="C24" s="104" t="s">
        <v>173</v>
      </c>
      <c r="D24" s="105" t="s">
        <v>216</v>
      </c>
      <c r="E24" s="106" t="s">
        <v>217</v>
      </c>
      <c r="F24" s="107" t="s">
        <v>188</v>
      </c>
    </row>
    <row r="25" spans="2:12" ht="26.45" customHeight="1" x14ac:dyDescent="0.25">
      <c r="B25" s="103" t="s">
        <v>214</v>
      </c>
      <c r="C25" s="104" t="s">
        <v>177</v>
      </c>
      <c r="D25" s="105" t="s">
        <v>218</v>
      </c>
      <c r="E25" s="108" t="s">
        <v>219</v>
      </c>
      <c r="F25" s="107" t="s">
        <v>188</v>
      </c>
    </row>
    <row r="26" spans="2:12" ht="26.45" customHeight="1" x14ac:dyDescent="0.25">
      <c r="B26" s="103" t="s">
        <v>214</v>
      </c>
      <c r="C26" s="104" t="s">
        <v>179</v>
      </c>
      <c r="D26" s="105" t="s">
        <v>220</v>
      </c>
      <c r="E26" s="108" t="s">
        <v>219</v>
      </c>
      <c r="F26" s="107" t="s">
        <v>188</v>
      </c>
    </row>
    <row r="27" spans="2:12" ht="26.45" customHeight="1" thickBot="1" x14ac:dyDescent="0.3">
      <c r="B27" s="109" t="s">
        <v>214</v>
      </c>
      <c r="C27" s="110" t="s">
        <v>181</v>
      </c>
      <c r="D27" s="111" t="s">
        <v>221</v>
      </c>
      <c r="E27" s="112" t="s">
        <v>219</v>
      </c>
      <c r="F27" s="113" t="s">
        <v>188</v>
      </c>
    </row>
  </sheetData>
  <mergeCells count="1">
    <mergeCell ref="B1:E1"/>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F898-FA0E-400C-9760-AA0D916F2FD5}">
  <dimension ref="B3:L42"/>
  <sheetViews>
    <sheetView workbookViewId="0">
      <selection activeCell="G53" sqref="G53"/>
    </sheetView>
  </sheetViews>
  <sheetFormatPr defaultRowHeight="12.75" x14ac:dyDescent="0.2"/>
  <cols>
    <col min="1" max="1" width="8.85546875" style="1"/>
    <col min="2" max="2" width="14.85546875" style="1" customWidth="1"/>
    <col min="3" max="3" width="17.42578125" style="1" customWidth="1"/>
    <col min="4" max="4" width="14.140625" style="1" customWidth="1"/>
    <col min="5" max="6" width="17.42578125" style="1" customWidth="1"/>
    <col min="7" max="7" width="12.140625" style="193" customWidth="1"/>
    <col min="8" max="8" width="18.5703125" style="1" customWidth="1"/>
    <col min="9" max="9" width="20.140625" style="1" customWidth="1"/>
    <col min="10" max="10" width="8.85546875" style="1"/>
    <col min="11" max="11" width="15"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79" width="8.85546875" style="1"/>
    <col min="16380" max="16384" width="8.85546875" style="1" customWidth="1"/>
  </cols>
  <sheetData>
    <row r="3" spans="2:12" ht="71.25" customHeight="1" x14ac:dyDescent="0.2">
      <c r="B3" s="240" t="s">
        <v>440</v>
      </c>
      <c r="C3" s="240"/>
      <c r="D3" s="240"/>
      <c r="E3" s="240"/>
      <c r="F3" s="240"/>
      <c r="G3" s="240"/>
      <c r="H3" s="240"/>
    </row>
    <row r="4" spans="2:12" s="7" customFormat="1" ht="12.75" customHeight="1" x14ac:dyDescent="0.2">
      <c r="G4" s="182"/>
    </row>
    <row r="5" spans="2:12" ht="44.45" customHeight="1" x14ac:dyDescent="0.2">
      <c r="B5" s="6" t="s">
        <v>8</v>
      </c>
      <c r="C5" s="6" t="s">
        <v>0</v>
      </c>
      <c r="D5" s="6" t="s">
        <v>354</v>
      </c>
      <c r="E5" s="6" t="s">
        <v>7</v>
      </c>
      <c r="F5" s="6" t="s">
        <v>6</v>
      </c>
      <c r="G5" s="6" t="s">
        <v>1</v>
      </c>
      <c r="H5" s="6" t="s">
        <v>2</v>
      </c>
      <c r="I5" s="6" t="s">
        <v>3</v>
      </c>
      <c r="K5" s="211" t="s">
        <v>417</v>
      </c>
      <c r="L5" s="209"/>
    </row>
    <row r="6" spans="2:12" x14ac:dyDescent="0.2">
      <c r="B6" s="6" t="s">
        <v>409</v>
      </c>
      <c r="C6" s="8"/>
      <c r="D6" s="8"/>
      <c r="E6" s="8"/>
      <c r="F6" s="8"/>
      <c r="G6" s="183"/>
      <c r="H6" s="17"/>
      <c r="I6" s="15">
        <f>G6*H6</f>
        <v>0</v>
      </c>
      <c r="K6" s="210" t="s">
        <v>421</v>
      </c>
    </row>
    <row r="7" spans="2:12" x14ac:dyDescent="0.2">
      <c r="B7" s="5"/>
      <c r="C7" s="8"/>
      <c r="D7" s="8"/>
      <c r="E7" s="8"/>
      <c r="F7" s="8"/>
      <c r="G7" s="183"/>
      <c r="H7" s="17"/>
      <c r="I7" s="15">
        <f t="shared" ref="I7:I10" si="0">G7*H7</f>
        <v>0</v>
      </c>
      <c r="K7" s="195" t="s">
        <v>421</v>
      </c>
    </row>
    <row r="8" spans="2:12" x14ac:dyDescent="0.2">
      <c r="B8" s="5"/>
      <c r="C8" s="8"/>
      <c r="D8" s="8"/>
      <c r="E8" s="8"/>
      <c r="F8" s="8"/>
      <c r="G8" s="183"/>
      <c r="H8" s="17"/>
      <c r="I8" s="15">
        <f t="shared" si="0"/>
        <v>0</v>
      </c>
      <c r="K8" s="11" t="s">
        <v>422</v>
      </c>
    </row>
    <row r="9" spans="2:12" x14ac:dyDescent="0.2">
      <c r="B9" s="5"/>
      <c r="C9" s="8"/>
      <c r="D9" s="8"/>
      <c r="E9" s="8"/>
      <c r="F9" s="8"/>
      <c r="G9" s="183"/>
      <c r="H9" s="17"/>
      <c r="I9" s="15">
        <f t="shared" si="0"/>
        <v>0</v>
      </c>
    </row>
    <row r="10" spans="2:12" x14ac:dyDescent="0.2">
      <c r="B10" s="5"/>
      <c r="C10" s="8"/>
      <c r="D10" s="8"/>
      <c r="E10" s="8"/>
      <c r="F10" s="8"/>
      <c r="G10" s="183"/>
      <c r="H10" s="17"/>
      <c r="I10" s="15">
        <f t="shared" si="0"/>
        <v>0</v>
      </c>
    </row>
    <row r="11" spans="2:12" x14ac:dyDescent="0.2">
      <c r="B11" s="3"/>
      <c r="C11" s="4"/>
      <c r="D11" s="4"/>
      <c r="E11" s="4"/>
      <c r="F11" s="184" t="s">
        <v>355</v>
      </c>
      <c r="G11" s="194">
        <f>SUM(G6:G10)</f>
        <v>0</v>
      </c>
      <c r="H11" s="197" t="s">
        <v>361</v>
      </c>
      <c r="I11" s="16">
        <f>SUM(I6:I10)</f>
        <v>0</v>
      </c>
    </row>
    <row r="12" spans="2:12" x14ac:dyDescent="0.2">
      <c r="B12" s="4"/>
      <c r="C12" s="4"/>
      <c r="D12" s="4"/>
      <c r="E12" s="5"/>
      <c r="F12" s="185"/>
      <c r="G12" s="186"/>
      <c r="H12" s="5"/>
      <c r="I12" s="5"/>
    </row>
    <row r="13" spans="2:12" ht="25.5" x14ac:dyDescent="0.2">
      <c r="B13" s="6" t="s">
        <v>410</v>
      </c>
      <c r="C13" s="13"/>
      <c r="D13" s="13"/>
      <c r="E13" s="14"/>
      <c r="F13" s="187"/>
      <c r="G13" s="188"/>
      <c r="H13" s="17"/>
      <c r="I13" s="15">
        <f>G13*H13</f>
        <v>0</v>
      </c>
    </row>
    <row r="14" spans="2:12" x14ac:dyDescent="0.2">
      <c r="B14" s="5"/>
      <c r="C14" s="8"/>
      <c r="D14" s="8"/>
      <c r="E14" s="8"/>
      <c r="F14" s="189"/>
      <c r="G14" s="183"/>
      <c r="H14" s="17"/>
      <c r="I14" s="15">
        <f t="shared" ref="I14:I17" si="1">G14*H14</f>
        <v>0</v>
      </c>
    </row>
    <row r="15" spans="2:12" x14ac:dyDescent="0.2">
      <c r="B15" s="5"/>
      <c r="C15" s="8"/>
      <c r="D15" s="8"/>
      <c r="E15" s="8"/>
      <c r="F15" s="189"/>
      <c r="G15" s="183"/>
      <c r="H15" s="17"/>
      <c r="I15" s="15">
        <f t="shared" si="1"/>
        <v>0</v>
      </c>
    </row>
    <row r="16" spans="2:12" x14ac:dyDescent="0.2">
      <c r="B16" s="5"/>
      <c r="C16" s="8"/>
      <c r="D16" s="8"/>
      <c r="E16" s="8"/>
      <c r="F16" s="189"/>
      <c r="G16" s="183"/>
      <c r="H16" s="17"/>
      <c r="I16" s="15">
        <f t="shared" si="1"/>
        <v>0</v>
      </c>
    </row>
    <row r="17" spans="2:9" x14ac:dyDescent="0.2">
      <c r="B17" s="5"/>
      <c r="C17" s="8"/>
      <c r="D17" s="8"/>
      <c r="E17" s="8"/>
      <c r="F17" s="189"/>
      <c r="G17" s="183"/>
      <c r="H17" s="17"/>
      <c r="I17" s="15">
        <f t="shared" si="1"/>
        <v>0</v>
      </c>
    </row>
    <row r="18" spans="2:9" x14ac:dyDescent="0.2">
      <c r="B18" s="5"/>
      <c r="C18" s="3"/>
      <c r="D18" s="3"/>
      <c r="E18" s="3"/>
      <c r="F18" s="190" t="s">
        <v>356</v>
      </c>
      <c r="G18" s="194">
        <f>SUM(G13:G17)</f>
        <v>0</v>
      </c>
      <c r="H18" s="197" t="s">
        <v>362</v>
      </c>
      <c r="I18" s="16">
        <f>SUM(I13:I17)</f>
        <v>0</v>
      </c>
    </row>
    <row r="19" spans="2:9" x14ac:dyDescent="0.2">
      <c r="B19" s="5"/>
      <c r="C19" s="5"/>
      <c r="D19" s="5"/>
      <c r="E19" s="5"/>
      <c r="F19" s="191"/>
      <c r="G19" s="192"/>
      <c r="H19" s="5"/>
      <c r="I19" s="5"/>
    </row>
    <row r="20" spans="2:9" ht="25.5" x14ac:dyDescent="0.2">
      <c r="B20" s="6" t="s">
        <v>411</v>
      </c>
      <c r="C20" s="13"/>
      <c r="D20" s="13"/>
      <c r="E20" s="14"/>
      <c r="F20" s="187"/>
      <c r="G20" s="188"/>
      <c r="H20" s="17"/>
      <c r="I20" s="15">
        <f>G20*H20</f>
        <v>0</v>
      </c>
    </row>
    <row r="21" spans="2:9" x14ac:dyDescent="0.2">
      <c r="B21" s="5"/>
      <c r="C21" s="8"/>
      <c r="D21" s="8"/>
      <c r="E21" s="8"/>
      <c r="F21" s="189"/>
      <c r="G21" s="183"/>
      <c r="H21" s="17"/>
      <c r="I21" s="15">
        <f t="shared" ref="I21:I24" si="2">G21*H21</f>
        <v>0</v>
      </c>
    </row>
    <row r="22" spans="2:9" x14ac:dyDescent="0.2">
      <c r="B22" s="5"/>
      <c r="C22" s="8"/>
      <c r="D22" s="8"/>
      <c r="E22" s="8"/>
      <c r="F22" s="189"/>
      <c r="G22" s="183"/>
      <c r="H22" s="17"/>
      <c r="I22" s="15">
        <f t="shared" si="2"/>
        <v>0</v>
      </c>
    </row>
    <row r="23" spans="2:9" x14ac:dyDescent="0.2">
      <c r="B23" s="5"/>
      <c r="C23" s="8"/>
      <c r="D23" s="8"/>
      <c r="E23" s="8"/>
      <c r="F23" s="189"/>
      <c r="G23" s="183"/>
      <c r="H23" s="17"/>
      <c r="I23" s="15">
        <f t="shared" si="2"/>
        <v>0</v>
      </c>
    </row>
    <row r="24" spans="2:9" x14ac:dyDescent="0.2">
      <c r="B24" s="5"/>
      <c r="C24" s="8"/>
      <c r="D24" s="8"/>
      <c r="E24" s="8"/>
      <c r="F24" s="189"/>
      <c r="G24" s="183"/>
      <c r="H24" s="17"/>
      <c r="I24" s="15">
        <f t="shared" si="2"/>
        <v>0</v>
      </c>
    </row>
    <row r="25" spans="2:9" x14ac:dyDescent="0.2">
      <c r="B25" s="5"/>
      <c r="C25" s="3"/>
      <c r="D25" s="3"/>
      <c r="E25" s="3"/>
      <c r="F25" s="190" t="s">
        <v>357</v>
      </c>
      <c r="G25" s="194">
        <f>SUM(G20:G24)</f>
        <v>0</v>
      </c>
      <c r="H25" s="197" t="s">
        <v>363</v>
      </c>
      <c r="I25" s="16">
        <f>SUM(I20:I24)</f>
        <v>0</v>
      </c>
    </row>
    <row r="26" spans="2:9" x14ac:dyDescent="0.2">
      <c r="B26" s="5"/>
      <c r="C26" s="5"/>
      <c r="D26" s="5"/>
      <c r="E26" s="5"/>
      <c r="F26" s="191"/>
      <c r="G26" s="192"/>
      <c r="H26" s="5"/>
      <c r="I26" s="5"/>
    </row>
    <row r="27" spans="2:9" ht="25.5" x14ac:dyDescent="0.2">
      <c r="B27" s="6" t="s">
        <v>412</v>
      </c>
      <c r="C27" s="13"/>
      <c r="D27" s="13"/>
      <c r="E27" s="14"/>
      <c r="F27" s="187"/>
      <c r="G27" s="188"/>
      <c r="H27" s="17"/>
      <c r="I27" s="15">
        <f>G27*H27</f>
        <v>0</v>
      </c>
    </row>
    <row r="28" spans="2:9" x14ac:dyDescent="0.2">
      <c r="B28" s="5"/>
      <c r="C28" s="8"/>
      <c r="D28" s="8"/>
      <c r="E28" s="8"/>
      <c r="F28" s="189"/>
      <c r="G28" s="183"/>
      <c r="H28" s="17"/>
      <c r="I28" s="15">
        <f t="shared" ref="I28:I31" si="3">G28*H28</f>
        <v>0</v>
      </c>
    </row>
    <row r="29" spans="2:9" x14ac:dyDescent="0.2">
      <c r="B29" s="5"/>
      <c r="C29" s="8"/>
      <c r="D29" s="8"/>
      <c r="E29" s="8"/>
      <c r="F29" s="189"/>
      <c r="G29" s="183"/>
      <c r="H29" s="17"/>
      <c r="I29" s="15">
        <f t="shared" si="3"/>
        <v>0</v>
      </c>
    </row>
    <row r="30" spans="2:9" x14ac:dyDescent="0.2">
      <c r="B30" s="5"/>
      <c r="C30" s="8"/>
      <c r="D30" s="8"/>
      <c r="E30" s="8"/>
      <c r="F30" s="189"/>
      <c r="G30" s="183"/>
      <c r="H30" s="17"/>
      <c r="I30" s="15">
        <f t="shared" si="3"/>
        <v>0</v>
      </c>
    </row>
    <row r="31" spans="2:9" x14ac:dyDescent="0.2">
      <c r="B31" s="5"/>
      <c r="C31" s="8"/>
      <c r="D31" s="8"/>
      <c r="E31" s="8"/>
      <c r="F31" s="189"/>
      <c r="G31" s="183"/>
      <c r="H31" s="17"/>
      <c r="I31" s="15">
        <f t="shared" si="3"/>
        <v>0</v>
      </c>
    </row>
    <row r="32" spans="2:9" x14ac:dyDescent="0.2">
      <c r="B32" s="5"/>
      <c r="C32" s="3"/>
      <c r="D32" s="3"/>
      <c r="E32" s="3"/>
      <c r="F32" s="190" t="s">
        <v>358</v>
      </c>
      <c r="G32" s="194">
        <f>SUM(G27:G31)</f>
        <v>0</v>
      </c>
      <c r="H32" s="197" t="s">
        <v>364</v>
      </c>
      <c r="I32" s="16">
        <f>SUM(I27:I31)</f>
        <v>0</v>
      </c>
    </row>
    <row r="33" spans="2:9" x14ac:dyDescent="0.2">
      <c r="B33" s="5"/>
      <c r="C33" s="5"/>
      <c r="D33" s="5"/>
      <c r="E33" s="5"/>
      <c r="F33" s="191"/>
      <c r="G33" s="192"/>
      <c r="H33" s="5"/>
      <c r="I33" s="5"/>
    </row>
    <row r="34" spans="2:9" ht="25.5" x14ac:dyDescent="0.2">
      <c r="B34" s="6" t="s">
        <v>413</v>
      </c>
      <c r="C34" s="13"/>
      <c r="D34" s="13"/>
      <c r="E34" s="14"/>
      <c r="F34" s="187"/>
      <c r="G34" s="188"/>
      <c r="H34" s="17"/>
      <c r="I34" s="15">
        <f>G34*H34</f>
        <v>0</v>
      </c>
    </row>
    <row r="35" spans="2:9" x14ac:dyDescent="0.2">
      <c r="B35" s="5"/>
      <c r="C35" s="8"/>
      <c r="D35" s="8"/>
      <c r="E35" s="8"/>
      <c r="F35" s="189"/>
      <c r="G35" s="183"/>
      <c r="H35" s="17"/>
      <c r="I35" s="15">
        <f t="shared" ref="I35:I38" si="4">G35*H35</f>
        <v>0</v>
      </c>
    </row>
    <row r="36" spans="2:9" x14ac:dyDescent="0.2">
      <c r="B36" s="5"/>
      <c r="C36" s="8"/>
      <c r="D36" s="8"/>
      <c r="E36" s="8"/>
      <c r="F36" s="189"/>
      <c r="G36" s="183"/>
      <c r="H36" s="17"/>
      <c r="I36" s="15">
        <f t="shared" si="4"/>
        <v>0</v>
      </c>
    </row>
    <row r="37" spans="2:9" x14ac:dyDescent="0.2">
      <c r="B37" s="5"/>
      <c r="C37" s="8"/>
      <c r="D37" s="8"/>
      <c r="E37" s="8"/>
      <c r="F37" s="189"/>
      <c r="G37" s="183"/>
      <c r="H37" s="17"/>
      <c r="I37" s="15">
        <f t="shared" si="4"/>
        <v>0</v>
      </c>
    </row>
    <row r="38" spans="2:9" x14ac:dyDescent="0.2">
      <c r="B38" s="5"/>
      <c r="C38" s="8"/>
      <c r="D38" s="8"/>
      <c r="E38" s="8"/>
      <c r="F38" s="189"/>
      <c r="G38" s="183"/>
      <c r="H38" s="17"/>
      <c r="I38" s="15">
        <f t="shared" si="4"/>
        <v>0</v>
      </c>
    </row>
    <row r="39" spans="2:9" x14ac:dyDescent="0.2">
      <c r="B39" s="5"/>
      <c r="C39" s="3"/>
      <c r="D39" s="3"/>
      <c r="E39" s="3"/>
      <c r="F39" s="190" t="s">
        <v>359</v>
      </c>
      <c r="G39" s="194">
        <f>SUM(G34:G38)</f>
        <v>0</v>
      </c>
      <c r="H39" s="197" t="s">
        <v>365</v>
      </c>
      <c r="I39" s="16">
        <f>SUM(I34:I38)</f>
        <v>0</v>
      </c>
    </row>
    <row r="40" spans="2:9" x14ac:dyDescent="0.2">
      <c r="B40" s="5"/>
      <c r="C40" s="5"/>
      <c r="D40" s="5"/>
      <c r="E40" s="5"/>
      <c r="F40" s="191"/>
      <c r="G40" s="192"/>
      <c r="H40" s="5"/>
      <c r="I40" s="5"/>
    </row>
    <row r="42" spans="2:9" x14ac:dyDescent="0.2">
      <c r="F42" s="195"/>
      <c r="G42" s="196"/>
      <c r="H42" s="10" t="s">
        <v>360</v>
      </c>
      <c r="I42" s="19">
        <f>I11+I18+I25+I32+I39</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C8F7-483D-486E-9A7F-1F90F475A3C1}">
  <dimension ref="B3:K12"/>
  <sheetViews>
    <sheetView workbookViewId="0">
      <selection activeCell="F37" sqref="F37"/>
    </sheetView>
  </sheetViews>
  <sheetFormatPr defaultRowHeight="12.75" x14ac:dyDescent="0.2"/>
  <cols>
    <col min="1" max="1" width="8.85546875" style="1"/>
    <col min="2" max="2" width="22" style="1" customWidth="1"/>
    <col min="3" max="3" width="37" style="1" customWidth="1"/>
    <col min="4" max="4" width="16.5703125" style="1" customWidth="1"/>
    <col min="5" max="5" width="19" style="1" customWidth="1"/>
    <col min="6" max="6" width="16.42578125" style="1" customWidth="1"/>
    <col min="7" max="7" width="15.140625" style="1" customWidth="1"/>
    <col min="8" max="8" width="16.140625" style="1" customWidth="1"/>
    <col min="9" max="9" width="13.140625" style="1" customWidth="1"/>
    <col min="10" max="10" width="8.85546875" style="1"/>
    <col min="11" max="11" width="14.85546875" style="1" customWidth="1"/>
    <col min="12" max="251" width="8.85546875" style="1"/>
    <col min="252" max="252" width="20.85546875" style="1" customWidth="1"/>
    <col min="253" max="253" width="27.5703125" style="1" customWidth="1"/>
    <col min="254" max="254" width="18.140625" style="1" customWidth="1"/>
    <col min="255" max="255" width="14.42578125" style="1" customWidth="1"/>
    <col min="256" max="256" width="16.140625" style="1" customWidth="1"/>
    <col min="257" max="257" width="10.140625" style="1" customWidth="1"/>
    <col min="258" max="258" width="9" style="1" customWidth="1"/>
    <col min="259" max="259" width="10.85546875" style="1" customWidth="1"/>
    <col min="260" max="507" width="8.85546875" style="1"/>
    <col min="508" max="508" width="20.85546875" style="1" customWidth="1"/>
    <col min="509" max="509" width="27.5703125" style="1" customWidth="1"/>
    <col min="510" max="510" width="18.140625" style="1" customWidth="1"/>
    <col min="511" max="511" width="14.42578125" style="1" customWidth="1"/>
    <col min="512" max="512" width="16.140625" style="1" customWidth="1"/>
    <col min="513" max="513" width="10.140625" style="1" customWidth="1"/>
    <col min="514" max="514" width="9" style="1" customWidth="1"/>
    <col min="515" max="515" width="10.85546875" style="1" customWidth="1"/>
    <col min="516" max="763" width="8.85546875" style="1"/>
    <col min="764" max="764" width="20.85546875" style="1" customWidth="1"/>
    <col min="765" max="765" width="27.5703125" style="1" customWidth="1"/>
    <col min="766" max="766" width="18.140625" style="1" customWidth="1"/>
    <col min="767" max="767" width="14.42578125" style="1" customWidth="1"/>
    <col min="768" max="768" width="16.140625" style="1" customWidth="1"/>
    <col min="769" max="769" width="10.140625" style="1" customWidth="1"/>
    <col min="770" max="770" width="9" style="1" customWidth="1"/>
    <col min="771" max="771" width="10.85546875" style="1" customWidth="1"/>
    <col min="772" max="1019" width="8.85546875" style="1"/>
    <col min="1020" max="1020" width="20.85546875" style="1" customWidth="1"/>
    <col min="1021" max="1021" width="27.5703125" style="1" customWidth="1"/>
    <col min="1022" max="1022" width="18.140625" style="1" customWidth="1"/>
    <col min="1023" max="1023" width="14.42578125" style="1" customWidth="1"/>
    <col min="1024" max="1024" width="16.140625" style="1" customWidth="1"/>
    <col min="1025" max="1025" width="10.140625" style="1" customWidth="1"/>
    <col min="1026" max="1026" width="9" style="1" customWidth="1"/>
    <col min="1027" max="1027" width="10.85546875" style="1" customWidth="1"/>
    <col min="1028" max="1275" width="8.85546875" style="1"/>
    <col min="1276" max="1276" width="20.85546875" style="1" customWidth="1"/>
    <col min="1277" max="1277" width="27.5703125" style="1" customWidth="1"/>
    <col min="1278" max="1278" width="18.140625" style="1" customWidth="1"/>
    <col min="1279" max="1279" width="14.42578125" style="1" customWidth="1"/>
    <col min="1280" max="1280" width="16.140625" style="1" customWidth="1"/>
    <col min="1281" max="1281" width="10.140625" style="1" customWidth="1"/>
    <col min="1282" max="1282" width="9" style="1" customWidth="1"/>
    <col min="1283" max="1283" width="10.85546875" style="1" customWidth="1"/>
    <col min="1284" max="1531" width="8.85546875" style="1"/>
    <col min="1532" max="1532" width="20.85546875" style="1" customWidth="1"/>
    <col min="1533" max="1533" width="27.5703125" style="1" customWidth="1"/>
    <col min="1534" max="1534" width="18.140625" style="1" customWidth="1"/>
    <col min="1535" max="1535" width="14.42578125" style="1" customWidth="1"/>
    <col min="1536" max="1536" width="16.140625" style="1" customWidth="1"/>
    <col min="1537" max="1537" width="10.140625" style="1" customWidth="1"/>
    <col min="1538" max="1538" width="9" style="1" customWidth="1"/>
    <col min="1539" max="1539" width="10.85546875" style="1" customWidth="1"/>
    <col min="1540" max="1787" width="8.85546875" style="1"/>
    <col min="1788" max="1788" width="20.85546875" style="1" customWidth="1"/>
    <col min="1789" max="1789" width="27.5703125" style="1" customWidth="1"/>
    <col min="1790" max="1790" width="18.140625" style="1" customWidth="1"/>
    <col min="1791" max="1791" width="14.42578125" style="1" customWidth="1"/>
    <col min="1792" max="1792" width="16.140625" style="1" customWidth="1"/>
    <col min="1793" max="1793" width="10.140625" style="1" customWidth="1"/>
    <col min="1794" max="1794" width="9" style="1" customWidth="1"/>
    <col min="1795" max="1795" width="10.85546875" style="1" customWidth="1"/>
    <col min="1796" max="2043" width="8.85546875" style="1"/>
    <col min="2044" max="2044" width="20.85546875" style="1" customWidth="1"/>
    <col min="2045" max="2045" width="27.5703125" style="1" customWidth="1"/>
    <col min="2046" max="2046" width="18.140625" style="1" customWidth="1"/>
    <col min="2047" max="2047" width="14.42578125" style="1" customWidth="1"/>
    <col min="2048" max="2048" width="16.140625" style="1" customWidth="1"/>
    <col min="2049" max="2049" width="10.140625" style="1" customWidth="1"/>
    <col min="2050" max="2050" width="9" style="1" customWidth="1"/>
    <col min="2051" max="2051" width="10.85546875" style="1" customWidth="1"/>
    <col min="2052" max="2299" width="8.85546875" style="1"/>
    <col min="2300" max="2300" width="20.85546875" style="1" customWidth="1"/>
    <col min="2301" max="2301" width="27.5703125" style="1" customWidth="1"/>
    <col min="2302" max="2302" width="18.140625" style="1" customWidth="1"/>
    <col min="2303" max="2303" width="14.42578125" style="1" customWidth="1"/>
    <col min="2304" max="2304" width="16.140625" style="1" customWidth="1"/>
    <col min="2305" max="2305" width="10.140625" style="1" customWidth="1"/>
    <col min="2306" max="2306" width="9" style="1" customWidth="1"/>
    <col min="2307" max="2307" width="10.85546875" style="1" customWidth="1"/>
    <col min="2308" max="2555" width="8.85546875" style="1"/>
    <col min="2556" max="2556" width="20.85546875" style="1" customWidth="1"/>
    <col min="2557" max="2557" width="27.5703125" style="1" customWidth="1"/>
    <col min="2558" max="2558" width="18.140625" style="1" customWidth="1"/>
    <col min="2559" max="2559" width="14.42578125" style="1" customWidth="1"/>
    <col min="2560" max="2560" width="16.140625" style="1" customWidth="1"/>
    <col min="2561" max="2561" width="10.140625" style="1" customWidth="1"/>
    <col min="2562" max="2562" width="9" style="1" customWidth="1"/>
    <col min="2563" max="2563" width="10.85546875" style="1" customWidth="1"/>
    <col min="2564" max="2811" width="8.85546875" style="1"/>
    <col min="2812" max="2812" width="20.85546875" style="1" customWidth="1"/>
    <col min="2813" max="2813" width="27.5703125" style="1" customWidth="1"/>
    <col min="2814" max="2814" width="18.140625" style="1" customWidth="1"/>
    <col min="2815" max="2815" width="14.42578125" style="1" customWidth="1"/>
    <col min="2816" max="2816" width="16.140625" style="1" customWidth="1"/>
    <col min="2817" max="2817" width="10.140625" style="1" customWidth="1"/>
    <col min="2818" max="2818" width="9" style="1" customWidth="1"/>
    <col min="2819" max="2819" width="10.85546875" style="1" customWidth="1"/>
    <col min="2820" max="3067" width="8.85546875" style="1"/>
    <col min="3068" max="3068" width="20.85546875" style="1" customWidth="1"/>
    <col min="3069" max="3069" width="27.5703125" style="1" customWidth="1"/>
    <col min="3070" max="3070" width="18.140625" style="1" customWidth="1"/>
    <col min="3071" max="3071" width="14.42578125" style="1" customWidth="1"/>
    <col min="3072" max="3072" width="16.140625" style="1" customWidth="1"/>
    <col min="3073" max="3073" width="10.140625" style="1" customWidth="1"/>
    <col min="3074" max="3074" width="9" style="1" customWidth="1"/>
    <col min="3075" max="3075" width="10.85546875" style="1" customWidth="1"/>
    <col min="3076" max="3323" width="8.85546875" style="1"/>
    <col min="3324" max="3324" width="20.85546875" style="1" customWidth="1"/>
    <col min="3325" max="3325" width="27.5703125" style="1" customWidth="1"/>
    <col min="3326" max="3326" width="18.140625" style="1" customWidth="1"/>
    <col min="3327" max="3327" width="14.42578125" style="1" customWidth="1"/>
    <col min="3328" max="3328" width="16.140625" style="1" customWidth="1"/>
    <col min="3329" max="3329" width="10.140625" style="1" customWidth="1"/>
    <col min="3330" max="3330" width="9" style="1" customWidth="1"/>
    <col min="3331" max="3331" width="10.85546875" style="1" customWidth="1"/>
    <col min="3332" max="3579" width="8.85546875" style="1"/>
    <col min="3580" max="3580" width="20.85546875" style="1" customWidth="1"/>
    <col min="3581" max="3581" width="27.5703125" style="1" customWidth="1"/>
    <col min="3582" max="3582" width="18.140625" style="1" customWidth="1"/>
    <col min="3583" max="3583" width="14.42578125" style="1" customWidth="1"/>
    <col min="3584" max="3584" width="16.140625" style="1" customWidth="1"/>
    <col min="3585" max="3585" width="10.140625" style="1" customWidth="1"/>
    <col min="3586" max="3586" width="9" style="1" customWidth="1"/>
    <col min="3587" max="3587" width="10.85546875" style="1" customWidth="1"/>
    <col min="3588" max="3835" width="8.85546875" style="1"/>
    <col min="3836" max="3836" width="20.85546875" style="1" customWidth="1"/>
    <col min="3837" max="3837" width="27.5703125" style="1" customWidth="1"/>
    <col min="3838" max="3838" width="18.140625" style="1" customWidth="1"/>
    <col min="3839" max="3839" width="14.42578125" style="1" customWidth="1"/>
    <col min="3840" max="3840" width="16.140625" style="1" customWidth="1"/>
    <col min="3841" max="3841" width="10.140625" style="1" customWidth="1"/>
    <col min="3842" max="3842" width="9" style="1" customWidth="1"/>
    <col min="3843" max="3843" width="10.85546875" style="1" customWidth="1"/>
    <col min="3844" max="4091" width="8.85546875" style="1"/>
    <col min="4092" max="4092" width="20.85546875" style="1" customWidth="1"/>
    <col min="4093" max="4093" width="27.5703125" style="1" customWidth="1"/>
    <col min="4094" max="4094" width="18.140625" style="1" customWidth="1"/>
    <col min="4095" max="4095" width="14.42578125" style="1" customWidth="1"/>
    <col min="4096" max="4096" width="16.140625" style="1" customWidth="1"/>
    <col min="4097" max="4097" width="10.140625" style="1" customWidth="1"/>
    <col min="4098" max="4098" width="9" style="1" customWidth="1"/>
    <col min="4099" max="4099" width="10.85546875" style="1" customWidth="1"/>
    <col min="4100" max="4347" width="8.85546875" style="1"/>
    <col min="4348" max="4348" width="20.85546875" style="1" customWidth="1"/>
    <col min="4349" max="4349" width="27.5703125" style="1" customWidth="1"/>
    <col min="4350" max="4350" width="18.140625" style="1" customWidth="1"/>
    <col min="4351" max="4351" width="14.42578125" style="1" customWidth="1"/>
    <col min="4352" max="4352" width="16.140625" style="1" customWidth="1"/>
    <col min="4353" max="4353" width="10.140625" style="1" customWidth="1"/>
    <col min="4354" max="4354" width="9" style="1" customWidth="1"/>
    <col min="4355" max="4355" width="10.85546875" style="1" customWidth="1"/>
    <col min="4356" max="4603" width="8.85546875" style="1"/>
    <col min="4604" max="4604" width="20.85546875" style="1" customWidth="1"/>
    <col min="4605" max="4605" width="27.5703125" style="1" customWidth="1"/>
    <col min="4606" max="4606" width="18.140625" style="1" customWidth="1"/>
    <col min="4607" max="4607" width="14.42578125" style="1" customWidth="1"/>
    <col min="4608" max="4608" width="16.140625" style="1" customWidth="1"/>
    <col min="4609" max="4609" width="10.140625" style="1" customWidth="1"/>
    <col min="4610" max="4610" width="9" style="1" customWidth="1"/>
    <col min="4611" max="4611" width="10.85546875" style="1" customWidth="1"/>
    <col min="4612" max="4859" width="8.85546875" style="1"/>
    <col min="4860" max="4860" width="20.85546875" style="1" customWidth="1"/>
    <col min="4861" max="4861" width="27.5703125" style="1" customWidth="1"/>
    <col min="4862" max="4862" width="18.140625" style="1" customWidth="1"/>
    <col min="4863" max="4863" width="14.42578125" style="1" customWidth="1"/>
    <col min="4864" max="4864" width="16.140625" style="1" customWidth="1"/>
    <col min="4865" max="4865" width="10.140625" style="1" customWidth="1"/>
    <col min="4866" max="4866" width="9" style="1" customWidth="1"/>
    <col min="4867" max="4867" width="10.85546875" style="1" customWidth="1"/>
    <col min="4868" max="5115" width="8.85546875" style="1"/>
    <col min="5116" max="5116" width="20.85546875" style="1" customWidth="1"/>
    <col min="5117" max="5117" width="27.5703125" style="1" customWidth="1"/>
    <col min="5118" max="5118" width="18.140625" style="1" customWidth="1"/>
    <col min="5119" max="5119" width="14.42578125" style="1" customWidth="1"/>
    <col min="5120" max="5120" width="16.140625" style="1" customWidth="1"/>
    <col min="5121" max="5121" width="10.140625" style="1" customWidth="1"/>
    <col min="5122" max="5122" width="9" style="1" customWidth="1"/>
    <col min="5123" max="5123" width="10.85546875" style="1" customWidth="1"/>
    <col min="5124" max="5371" width="8.85546875" style="1"/>
    <col min="5372" max="5372" width="20.85546875" style="1" customWidth="1"/>
    <col min="5373" max="5373" width="27.5703125" style="1" customWidth="1"/>
    <col min="5374" max="5374" width="18.140625" style="1" customWidth="1"/>
    <col min="5375" max="5375" width="14.42578125" style="1" customWidth="1"/>
    <col min="5376" max="5376" width="16.140625" style="1" customWidth="1"/>
    <col min="5377" max="5377" width="10.140625" style="1" customWidth="1"/>
    <col min="5378" max="5378" width="9" style="1" customWidth="1"/>
    <col min="5379" max="5379" width="10.85546875" style="1" customWidth="1"/>
    <col min="5380" max="5627" width="8.85546875" style="1"/>
    <col min="5628" max="5628" width="20.85546875" style="1" customWidth="1"/>
    <col min="5629" max="5629" width="27.5703125" style="1" customWidth="1"/>
    <col min="5630" max="5630" width="18.140625" style="1" customWidth="1"/>
    <col min="5631" max="5631" width="14.42578125" style="1" customWidth="1"/>
    <col min="5632" max="5632" width="16.140625" style="1" customWidth="1"/>
    <col min="5633" max="5633" width="10.140625" style="1" customWidth="1"/>
    <col min="5634" max="5634" width="9" style="1" customWidth="1"/>
    <col min="5635" max="5635" width="10.85546875" style="1" customWidth="1"/>
    <col min="5636" max="5883" width="8.85546875" style="1"/>
    <col min="5884" max="5884" width="20.85546875" style="1" customWidth="1"/>
    <col min="5885" max="5885" width="27.5703125" style="1" customWidth="1"/>
    <col min="5886" max="5886" width="18.140625" style="1" customWidth="1"/>
    <col min="5887" max="5887" width="14.42578125" style="1" customWidth="1"/>
    <col min="5888" max="5888" width="16.140625" style="1" customWidth="1"/>
    <col min="5889" max="5889" width="10.140625" style="1" customWidth="1"/>
    <col min="5890" max="5890" width="9" style="1" customWidth="1"/>
    <col min="5891" max="5891" width="10.85546875" style="1" customWidth="1"/>
    <col min="5892" max="6139" width="8.85546875" style="1"/>
    <col min="6140" max="6140" width="20.85546875" style="1" customWidth="1"/>
    <col min="6141" max="6141" width="27.5703125" style="1" customWidth="1"/>
    <col min="6142" max="6142" width="18.140625" style="1" customWidth="1"/>
    <col min="6143" max="6143" width="14.42578125" style="1" customWidth="1"/>
    <col min="6144" max="6144" width="16.140625" style="1" customWidth="1"/>
    <col min="6145" max="6145" width="10.140625" style="1" customWidth="1"/>
    <col min="6146" max="6146" width="9" style="1" customWidth="1"/>
    <col min="6147" max="6147" width="10.85546875" style="1" customWidth="1"/>
    <col min="6148" max="6395" width="8.85546875" style="1"/>
    <col min="6396" max="6396" width="20.85546875" style="1" customWidth="1"/>
    <col min="6397" max="6397" width="27.5703125" style="1" customWidth="1"/>
    <col min="6398" max="6398" width="18.140625" style="1" customWidth="1"/>
    <col min="6399" max="6399" width="14.42578125" style="1" customWidth="1"/>
    <col min="6400" max="6400" width="16.140625" style="1" customWidth="1"/>
    <col min="6401" max="6401" width="10.140625" style="1" customWidth="1"/>
    <col min="6402" max="6402" width="9" style="1" customWidth="1"/>
    <col min="6403" max="6403" width="10.85546875" style="1" customWidth="1"/>
    <col min="6404" max="6651" width="8.85546875" style="1"/>
    <col min="6652" max="6652" width="20.85546875" style="1" customWidth="1"/>
    <col min="6653" max="6653" width="27.5703125" style="1" customWidth="1"/>
    <col min="6654" max="6654" width="18.140625" style="1" customWidth="1"/>
    <col min="6655" max="6655" width="14.42578125" style="1" customWidth="1"/>
    <col min="6656" max="6656" width="16.140625" style="1" customWidth="1"/>
    <col min="6657" max="6657" width="10.140625" style="1" customWidth="1"/>
    <col min="6658" max="6658" width="9" style="1" customWidth="1"/>
    <col min="6659" max="6659" width="10.85546875" style="1" customWidth="1"/>
    <col min="6660" max="6907" width="8.85546875" style="1"/>
    <col min="6908" max="6908" width="20.85546875" style="1" customWidth="1"/>
    <col min="6909" max="6909" width="27.5703125" style="1" customWidth="1"/>
    <col min="6910" max="6910" width="18.140625" style="1" customWidth="1"/>
    <col min="6911" max="6911" width="14.42578125" style="1" customWidth="1"/>
    <col min="6912" max="6912" width="16.140625" style="1" customWidth="1"/>
    <col min="6913" max="6913" width="10.140625" style="1" customWidth="1"/>
    <col min="6914" max="6914" width="9" style="1" customWidth="1"/>
    <col min="6915" max="6915" width="10.85546875" style="1" customWidth="1"/>
    <col min="6916" max="7163" width="8.85546875" style="1"/>
    <col min="7164" max="7164" width="20.85546875" style="1" customWidth="1"/>
    <col min="7165" max="7165" width="27.5703125" style="1" customWidth="1"/>
    <col min="7166" max="7166" width="18.140625" style="1" customWidth="1"/>
    <col min="7167" max="7167" width="14.42578125" style="1" customWidth="1"/>
    <col min="7168" max="7168" width="16.140625" style="1" customWidth="1"/>
    <col min="7169" max="7169" width="10.140625" style="1" customWidth="1"/>
    <col min="7170" max="7170" width="9" style="1" customWidth="1"/>
    <col min="7171" max="7171" width="10.85546875" style="1" customWidth="1"/>
    <col min="7172" max="7419" width="8.85546875" style="1"/>
    <col min="7420" max="7420" width="20.85546875" style="1" customWidth="1"/>
    <col min="7421" max="7421" width="27.5703125" style="1" customWidth="1"/>
    <col min="7422" max="7422" width="18.140625" style="1" customWidth="1"/>
    <col min="7423" max="7423" width="14.42578125" style="1" customWidth="1"/>
    <col min="7424" max="7424" width="16.140625" style="1" customWidth="1"/>
    <col min="7425" max="7425" width="10.140625" style="1" customWidth="1"/>
    <col min="7426" max="7426" width="9" style="1" customWidth="1"/>
    <col min="7427" max="7427" width="10.85546875" style="1" customWidth="1"/>
    <col min="7428" max="7675" width="8.85546875" style="1"/>
    <col min="7676" max="7676" width="20.85546875" style="1" customWidth="1"/>
    <col min="7677" max="7677" width="27.5703125" style="1" customWidth="1"/>
    <col min="7678" max="7678" width="18.140625" style="1" customWidth="1"/>
    <col min="7679" max="7679" width="14.42578125" style="1" customWidth="1"/>
    <col min="7680" max="7680" width="16.140625" style="1" customWidth="1"/>
    <col min="7681" max="7681" width="10.140625" style="1" customWidth="1"/>
    <col min="7682" max="7682" width="9" style="1" customWidth="1"/>
    <col min="7683" max="7683" width="10.85546875" style="1" customWidth="1"/>
    <col min="7684" max="7931" width="8.85546875" style="1"/>
    <col min="7932" max="7932" width="20.85546875" style="1" customWidth="1"/>
    <col min="7933" max="7933" width="27.5703125" style="1" customWidth="1"/>
    <col min="7934" max="7934" width="18.140625" style="1" customWidth="1"/>
    <col min="7935" max="7935" width="14.42578125" style="1" customWidth="1"/>
    <col min="7936" max="7936" width="16.140625" style="1" customWidth="1"/>
    <col min="7937" max="7937" width="10.140625" style="1" customWidth="1"/>
    <col min="7938" max="7938" width="9" style="1" customWidth="1"/>
    <col min="7939" max="7939" width="10.85546875" style="1" customWidth="1"/>
    <col min="7940" max="8187" width="8.85546875" style="1"/>
    <col min="8188" max="8188" width="20.85546875" style="1" customWidth="1"/>
    <col min="8189" max="8189" width="27.5703125" style="1" customWidth="1"/>
    <col min="8190" max="8190" width="18.140625" style="1" customWidth="1"/>
    <col min="8191" max="8191" width="14.42578125" style="1" customWidth="1"/>
    <col min="8192" max="8192" width="16.140625" style="1" customWidth="1"/>
    <col min="8193" max="8193" width="10.140625" style="1" customWidth="1"/>
    <col min="8194" max="8194" width="9" style="1" customWidth="1"/>
    <col min="8195" max="8195" width="10.85546875" style="1" customWidth="1"/>
    <col min="8196" max="8443" width="8.85546875" style="1"/>
    <col min="8444" max="8444" width="20.85546875" style="1" customWidth="1"/>
    <col min="8445" max="8445" width="27.5703125" style="1" customWidth="1"/>
    <col min="8446" max="8446" width="18.140625" style="1" customWidth="1"/>
    <col min="8447" max="8447" width="14.42578125" style="1" customWidth="1"/>
    <col min="8448" max="8448" width="16.140625" style="1" customWidth="1"/>
    <col min="8449" max="8449" width="10.140625" style="1" customWidth="1"/>
    <col min="8450" max="8450" width="9" style="1" customWidth="1"/>
    <col min="8451" max="8451" width="10.85546875" style="1" customWidth="1"/>
    <col min="8452" max="8699" width="8.85546875" style="1"/>
    <col min="8700" max="8700" width="20.85546875" style="1" customWidth="1"/>
    <col min="8701" max="8701" width="27.5703125" style="1" customWidth="1"/>
    <col min="8702" max="8702" width="18.140625" style="1" customWidth="1"/>
    <col min="8703" max="8703" width="14.42578125" style="1" customWidth="1"/>
    <col min="8704" max="8704" width="16.140625" style="1" customWidth="1"/>
    <col min="8705" max="8705" width="10.140625" style="1" customWidth="1"/>
    <col min="8706" max="8706" width="9" style="1" customWidth="1"/>
    <col min="8707" max="8707" width="10.85546875" style="1" customWidth="1"/>
    <col min="8708" max="8955" width="8.85546875" style="1"/>
    <col min="8956" max="8956" width="20.85546875" style="1" customWidth="1"/>
    <col min="8957" max="8957" width="27.5703125" style="1" customWidth="1"/>
    <col min="8958" max="8958" width="18.140625" style="1" customWidth="1"/>
    <col min="8959" max="8959" width="14.42578125" style="1" customWidth="1"/>
    <col min="8960" max="8960" width="16.140625" style="1" customWidth="1"/>
    <col min="8961" max="8961" width="10.140625" style="1" customWidth="1"/>
    <col min="8962" max="8962" width="9" style="1" customWidth="1"/>
    <col min="8963" max="8963" width="10.85546875" style="1" customWidth="1"/>
    <col min="8964" max="9211" width="8.85546875" style="1"/>
    <col min="9212" max="9212" width="20.85546875" style="1" customWidth="1"/>
    <col min="9213" max="9213" width="27.5703125" style="1" customWidth="1"/>
    <col min="9214" max="9214" width="18.140625" style="1" customWidth="1"/>
    <col min="9215" max="9215" width="14.42578125" style="1" customWidth="1"/>
    <col min="9216" max="9216" width="16.140625" style="1" customWidth="1"/>
    <col min="9217" max="9217" width="10.140625" style="1" customWidth="1"/>
    <col min="9218" max="9218" width="9" style="1" customWidth="1"/>
    <col min="9219" max="9219" width="10.85546875" style="1" customWidth="1"/>
    <col min="9220" max="9467" width="8.85546875" style="1"/>
    <col min="9468" max="9468" width="20.85546875" style="1" customWidth="1"/>
    <col min="9469" max="9469" width="27.5703125" style="1" customWidth="1"/>
    <col min="9470" max="9470" width="18.140625" style="1" customWidth="1"/>
    <col min="9471" max="9471" width="14.42578125" style="1" customWidth="1"/>
    <col min="9472" max="9472" width="16.140625" style="1" customWidth="1"/>
    <col min="9473" max="9473" width="10.140625" style="1" customWidth="1"/>
    <col min="9474" max="9474" width="9" style="1" customWidth="1"/>
    <col min="9475" max="9475" width="10.85546875" style="1" customWidth="1"/>
    <col min="9476" max="9723" width="8.85546875" style="1"/>
    <col min="9724" max="9724" width="20.85546875" style="1" customWidth="1"/>
    <col min="9725" max="9725" width="27.5703125" style="1" customWidth="1"/>
    <col min="9726" max="9726" width="18.140625" style="1" customWidth="1"/>
    <col min="9727" max="9727" width="14.42578125" style="1" customWidth="1"/>
    <col min="9728" max="9728" width="16.140625" style="1" customWidth="1"/>
    <col min="9729" max="9729" width="10.140625" style="1" customWidth="1"/>
    <col min="9730" max="9730" width="9" style="1" customWidth="1"/>
    <col min="9731" max="9731" width="10.85546875" style="1" customWidth="1"/>
    <col min="9732" max="9979" width="8.85546875" style="1"/>
    <col min="9980" max="9980" width="20.85546875" style="1" customWidth="1"/>
    <col min="9981" max="9981" width="27.5703125" style="1" customWidth="1"/>
    <col min="9982" max="9982" width="18.140625" style="1" customWidth="1"/>
    <col min="9983" max="9983" width="14.42578125" style="1" customWidth="1"/>
    <col min="9984" max="9984" width="16.140625" style="1" customWidth="1"/>
    <col min="9985" max="9985" width="10.140625" style="1" customWidth="1"/>
    <col min="9986" max="9986" width="9" style="1" customWidth="1"/>
    <col min="9987" max="9987" width="10.85546875" style="1" customWidth="1"/>
    <col min="9988" max="10235" width="8.85546875" style="1"/>
    <col min="10236" max="10236" width="20.85546875" style="1" customWidth="1"/>
    <col min="10237" max="10237" width="27.5703125" style="1" customWidth="1"/>
    <col min="10238" max="10238" width="18.140625" style="1" customWidth="1"/>
    <col min="10239" max="10239" width="14.42578125" style="1" customWidth="1"/>
    <col min="10240" max="10240" width="16.140625" style="1" customWidth="1"/>
    <col min="10241" max="10241" width="10.140625" style="1" customWidth="1"/>
    <col min="10242" max="10242" width="9" style="1" customWidth="1"/>
    <col min="10243" max="10243" width="10.85546875" style="1" customWidth="1"/>
    <col min="10244" max="10491" width="8.85546875" style="1"/>
    <col min="10492" max="10492" width="20.85546875" style="1" customWidth="1"/>
    <col min="10493" max="10493" width="27.5703125" style="1" customWidth="1"/>
    <col min="10494" max="10494" width="18.140625" style="1" customWidth="1"/>
    <col min="10495" max="10495" width="14.42578125" style="1" customWidth="1"/>
    <col min="10496" max="10496" width="16.140625" style="1" customWidth="1"/>
    <col min="10497" max="10497" width="10.140625" style="1" customWidth="1"/>
    <col min="10498" max="10498" width="9" style="1" customWidth="1"/>
    <col min="10499" max="10499" width="10.85546875" style="1" customWidth="1"/>
    <col min="10500" max="10747" width="8.85546875" style="1"/>
    <col min="10748" max="10748" width="20.85546875" style="1" customWidth="1"/>
    <col min="10749" max="10749" width="27.5703125" style="1" customWidth="1"/>
    <col min="10750" max="10750" width="18.140625" style="1" customWidth="1"/>
    <col min="10751" max="10751" width="14.42578125" style="1" customWidth="1"/>
    <col min="10752" max="10752" width="16.140625" style="1" customWidth="1"/>
    <col min="10753" max="10753" width="10.140625" style="1" customWidth="1"/>
    <col min="10754" max="10754" width="9" style="1" customWidth="1"/>
    <col min="10755" max="10755" width="10.85546875" style="1" customWidth="1"/>
    <col min="10756" max="11003" width="8.85546875" style="1"/>
    <col min="11004" max="11004" width="20.85546875" style="1" customWidth="1"/>
    <col min="11005" max="11005" width="27.5703125" style="1" customWidth="1"/>
    <col min="11006" max="11006" width="18.140625" style="1" customWidth="1"/>
    <col min="11007" max="11007" width="14.42578125" style="1" customWidth="1"/>
    <col min="11008" max="11008" width="16.140625" style="1" customWidth="1"/>
    <col min="11009" max="11009" width="10.140625" style="1" customWidth="1"/>
    <col min="11010" max="11010" width="9" style="1" customWidth="1"/>
    <col min="11011" max="11011" width="10.85546875" style="1" customWidth="1"/>
    <col min="11012" max="11259" width="8.85546875" style="1"/>
    <col min="11260" max="11260" width="20.85546875" style="1" customWidth="1"/>
    <col min="11261" max="11261" width="27.5703125" style="1" customWidth="1"/>
    <col min="11262" max="11262" width="18.140625" style="1" customWidth="1"/>
    <col min="11263" max="11263" width="14.42578125" style="1" customWidth="1"/>
    <col min="11264" max="11264" width="16.140625" style="1" customWidth="1"/>
    <col min="11265" max="11265" width="10.140625" style="1" customWidth="1"/>
    <col min="11266" max="11266" width="9" style="1" customWidth="1"/>
    <col min="11267" max="11267" width="10.85546875" style="1" customWidth="1"/>
    <col min="11268" max="11515" width="8.85546875" style="1"/>
    <col min="11516" max="11516" width="20.85546875" style="1" customWidth="1"/>
    <col min="11517" max="11517" width="27.5703125" style="1" customWidth="1"/>
    <col min="11518" max="11518" width="18.140625" style="1" customWidth="1"/>
    <col min="11519" max="11519" width="14.42578125" style="1" customWidth="1"/>
    <col min="11520" max="11520" width="16.140625" style="1" customWidth="1"/>
    <col min="11521" max="11521" width="10.140625" style="1" customWidth="1"/>
    <col min="11522" max="11522" width="9" style="1" customWidth="1"/>
    <col min="11523" max="11523" width="10.85546875" style="1" customWidth="1"/>
    <col min="11524" max="11771" width="8.85546875" style="1"/>
    <col min="11772" max="11772" width="20.85546875" style="1" customWidth="1"/>
    <col min="11773" max="11773" width="27.5703125" style="1" customWidth="1"/>
    <col min="11774" max="11774" width="18.140625" style="1" customWidth="1"/>
    <col min="11775" max="11775" width="14.42578125" style="1" customWidth="1"/>
    <col min="11776" max="11776" width="16.140625" style="1" customWidth="1"/>
    <col min="11777" max="11777" width="10.140625" style="1" customWidth="1"/>
    <col min="11778" max="11778" width="9" style="1" customWidth="1"/>
    <col min="11779" max="11779" width="10.85546875" style="1" customWidth="1"/>
    <col min="11780" max="12027" width="8.85546875" style="1"/>
    <col min="12028" max="12028" width="20.85546875" style="1" customWidth="1"/>
    <col min="12029" max="12029" width="27.5703125" style="1" customWidth="1"/>
    <col min="12030" max="12030" width="18.140625" style="1" customWidth="1"/>
    <col min="12031" max="12031" width="14.42578125" style="1" customWidth="1"/>
    <col min="12032" max="12032" width="16.140625" style="1" customWidth="1"/>
    <col min="12033" max="12033" width="10.140625" style="1" customWidth="1"/>
    <col min="12034" max="12034" width="9" style="1" customWidth="1"/>
    <col min="12035" max="12035" width="10.85546875" style="1" customWidth="1"/>
    <col min="12036" max="12283" width="8.85546875" style="1"/>
    <col min="12284" max="12284" width="20.85546875" style="1" customWidth="1"/>
    <col min="12285" max="12285" width="27.5703125" style="1" customWidth="1"/>
    <col min="12286" max="12286" width="18.140625" style="1" customWidth="1"/>
    <col min="12287" max="12287" width="14.42578125" style="1" customWidth="1"/>
    <col min="12288" max="12288" width="16.140625" style="1" customWidth="1"/>
    <col min="12289" max="12289" width="10.140625" style="1" customWidth="1"/>
    <col min="12290" max="12290" width="9" style="1" customWidth="1"/>
    <col min="12291" max="12291" width="10.85546875" style="1" customWidth="1"/>
    <col min="12292" max="12539" width="8.85546875" style="1"/>
    <col min="12540" max="12540" width="20.85546875" style="1" customWidth="1"/>
    <col min="12541" max="12541" width="27.5703125" style="1" customWidth="1"/>
    <col min="12542" max="12542" width="18.140625" style="1" customWidth="1"/>
    <col min="12543" max="12543" width="14.42578125" style="1" customWidth="1"/>
    <col min="12544" max="12544" width="16.140625" style="1" customWidth="1"/>
    <col min="12545" max="12545" width="10.140625" style="1" customWidth="1"/>
    <col min="12546" max="12546" width="9" style="1" customWidth="1"/>
    <col min="12547" max="12547" width="10.85546875" style="1" customWidth="1"/>
    <col min="12548" max="12795" width="8.85546875" style="1"/>
    <col min="12796" max="12796" width="20.85546875" style="1" customWidth="1"/>
    <col min="12797" max="12797" width="27.5703125" style="1" customWidth="1"/>
    <col min="12798" max="12798" width="18.140625" style="1" customWidth="1"/>
    <col min="12799" max="12799" width="14.42578125" style="1" customWidth="1"/>
    <col min="12800" max="12800" width="16.140625" style="1" customWidth="1"/>
    <col min="12801" max="12801" width="10.140625" style="1" customWidth="1"/>
    <col min="12802" max="12802" width="9" style="1" customWidth="1"/>
    <col min="12803" max="12803" width="10.85546875" style="1" customWidth="1"/>
    <col min="12804" max="13051" width="8.85546875" style="1"/>
    <col min="13052" max="13052" width="20.85546875" style="1" customWidth="1"/>
    <col min="13053" max="13053" width="27.5703125" style="1" customWidth="1"/>
    <col min="13054" max="13054" width="18.140625" style="1" customWidth="1"/>
    <col min="13055" max="13055" width="14.42578125" style="1" customWidth="1"/>
    <col min="13056" max="13056" width="16.140625" style="1" customWidth="1"/>
    <col min="13057" max="13057" width="10.140625" style="1" customWidth="1"/>
    <col min="13058" max="13058" width="9" style="1" customWidth="1"/>
    <col min="13059" max="13059" width="10.85546875" style="1" customWidth="1"/>
    <col min="13060" max="13307" width="8.85546875" style="1"/>
    <col min="13308" max="13308" width="20.85546875" style="1" customWidth="1"/>
    <col min="13309" max="13309" width="27.5703125" style="1" customWidth="1"/>
    <col min="13310" max="13310" width="18.140625" style="1" customWidth="1"/>
    <col min="13311" max="13311" width="14.42578125" style="1" customWidth="1"/>
    <col min="13312" max="13312" width="16.140625" style="1" customWidth="1"/>
    <col min="13313" max="13313" width="10.140625" style="1" customWidth="1"/>
    <col min="13314" max="13314" width="9" style="1" customWidth="1"/>
    <col min="13315" max="13315" width="10.85546875" style="1" customWidth="1"/>
    <col min="13316" max="13563" width="8.85546875" style="1"/>
    <col min="13564" max="13564" width="20.85546875" style="1" customWidth="1"/>
    <col min="13565" max="13565" width="27.5703125" style="1" customWidth="1"/>
    <col min="13566" max="13566" width="18.140625" style="1" customWidth="1"/>
    <col min="13567" max="13567" width="14.42578125" style="1" customWidth="1"/>
    <col min="13568" max="13568" width="16.140625" style="1" customWidth="1"/>
    <col min="13569" max="13569" width="10.140625" style="1" customWidth="1"/>
    <col min="13570" max="13570" width="9" style="1" customWidth="1"/>
    <col min="13571" max="13571" width="10.85546875" style="1" customWidth="1"/>
    <col min="13572" max="13819" width="8.85546875" style="1"/>
    <col min="13820" max="13820" width="20.85546875" style="1" customWidth="1"/>
    <col min="13821" max="13821" width="27.5703125" style="1" customWidth="1"/>
    <col min="13822" max="13822" width="18.140625" style="1" customWidth="1"/>
    <col min="13823" max="13823" width="14.42578125" style="1" customWidth="1"/>
    <col min="13824" max="13824" width="16.140625" style="1" customWidth="1"/>
    <col min="13825" max="13825" width="10.140625" style="1" customWidth="1"/>
    <col min="13826" max="13826" width="9" style="1" customWidth="1"/>
    <col min="13827" max="13827" width="10.85546875" style="1" customWidth="1"/>
    <col min="13828" max="14075" width="8.85546875" style="1"/>
    <col min="14076" max="14076" width="20.85546875" style="1" customWidth="1"/>
    <col min="14077" max="14077" width="27.5703125" style="1" customWidth="1"/>
    <col min="14078" max="14078" width="18.140625" style="1" customWidth="1"/>
    <col min="14079" max="14079" width="14.42578125" style="1" customWidth="1"/>
    <col min="14080" max="14080" width="16.140625" style="1" customWidth="1"/>
    <col min="14081" max="14081" width="10.140625" style="1" customWidth="1"/>
    <col min="14082" max="14082" width="9" style="1" customWidth="1"/>
    <col min="14083" max="14083" width="10.85546875" style="1" customWidth="1"/>
    <col min="14084" max="14331" width="8.85546875" style="1"/>
    <col min="14332" max="14332" width="20.85546875" style="1" customWidth="1"/>
    <col min="14333" max="14333" width="27.5703125" style="1" customWidth="1"/>
    <col min="14334" max="14334" width="18.140625" style="1" customWidth="1"/>
    <col min="14335" max="14335" width="14.42578125" style="1" customWidth="1"/>
    <col min="14336" max="14336" width="16.140625" style="1" customWidth="1"/>
    <col min="14337" max="14337" width="10.140625" style="1" customWidth="1"/>
    <col min="14338" max="14338" width="9" style="1" customWidth="1"/>
    <col min="14339" max="14339" width="10.85546875" style="1" customWidth="1"/>
    <col min="14340" max="14587" width="8.85546875" style="1"/>
    <col min="14588" max="14588" width="20.85546875" style="1" customWidth="1"/>
    <col min="14589" max="14589" width="27.5703125" style="1" customWidth="1"/>
    <col min="14590" max="14590" width="18.140625" style="1" customWidth="1"/>
    <col min="14591" max="14591" width="14.42578125" style="1" customWidth="1"/>
    <col min="14592" max="14592" width="16.140625" style="1" customWidth="1"/>
    <col min="14593" max="14593" width="10.140625" style="1" customWidth="1"/>
    <col min="14594" max="14594" width="9" style="1" customWidth="1"/>
    <col min="14595" max="14595" width="10.85546875" style="1" customWidth="1"/>
    <col min="14596" max="14843" width="8.85546875" style="1"/>
    <col min="14844" max="14844" width="20.85546875" style="1" customWidth="1"/>
    <col min="14845" max="14845" width="27.5703125" style="1" customWidth="1"/>
    <col min="14846" max="14846" width="18.140625" style="1" customWidth="1"/>
    <col min="14847" max="14847" width="14.42578125" style="1" customWidth="1"/>
    <col min="14848" max="14848" width="16.140625" style="1" customWidth="1"/>
    <col min="14849" max="14849" width="10.140625" style="1" customWidth="1"/>
    <col min="14850" max="14850" width="9" style="1" customWidth="1"/>
    <col min="14851" max="14851" width="10.85546875" style="1" customWidth="1"/>
    <col min="14852" max="15099" width="8.85546875" style="1"/>
    <col min="15100" max="15100" width="20.85546875" style="1" customWidth="1"/>
    <col min="15101" max="15101" width="27.5703125" style="1" customWidth="1"/>
    <col min="15102" max="15102" width="18.140625" style="1" customWidth="1"/>
    <col min="15103" max="15103" width="14.42578125" style="1" customWidth="1"/>
    <col min="15104" max="15104" width="16.140625" style="1" customWidth="1"/>
    <col min="15105" max="15105" width="10.140625" style="1" customWidth="1"/>
    <col min="15106" max="15106" width="9" style="1" customWidth="1"/>
    <col min="15107" max="15107" width="10.85546875" style="1" customWidth="1"/>
    <col min="15108" max="15355" width="8.85546875" style="1"/>
    <col min="15356" max="15356" width="20.85546875" style="1" customWidth="1"/>
    <col min="15357" max="15357" width="27.5703125" style="1" customWidth="1"/>
    <col min="15358" max="15358" width="18.140625" style="1" customWidth="1"/>
    <col min="15359" max="15359" width="14.42578125" style="1" customWidth="1"/>
    <col min="15360" max="15360" width="16.140625" style="1" customWidth="1"/>
    <col min="15361" max="15361" width="10.140625" style="1" customWidth="1"/>
    <col min="15362" max="15362" width="9" style="1" customWidth="1"/>
    <col min="15363" max="15363" width="10.85546875" style="1" customWidth="1"/>
    <col min="15364" max="15611" width="8.85546875" style="1"/>
    <col min="15612" max="15612" width="20.85546875" style="1" customWidth="1"/>
    <col min="15613" max="15613" width="27.5703125" style="1" customWidth="1"/>
    <col min="15614" max="15614" width="18.140625" style="1" customWidth="1"/>
    <col min="15615" max="15615" width="14.42578125" style="1" customWidth="1"/>
    <col min="15616" max="15616" width="16.140625" style="1" customWidth="1"/>
    <col min="15617" max="15617" width="10.140625" style="1" customWidth="1"/>
    <col min="15618" max="15618" width="9" style="1" customWidth="1"/>
    <col min="15619" max="15619" width="10.85546875" style="1" customWidth="1"/>
    <col min="15620" max="15867" width="8.85546875" style="1"/>
    <col min="15868" max="15868" width="20.85546875" style="1" customWidth="1"/>
    <col min="15869" max="15869" width="27.5703125" style="1" customWidth="1"/>
    <col min="15870" max="15870" width="18.140625" style="1" customWidth="1"/>
    <col min="15871" max="15871" width="14.42578125" style="1" customWidth="1"/>
    <col min="15872" max="15872" width="16.140625" style="1" customWidth="1"/>
    <col min="15873" max="15873" width="10.140625" style="1" customWidth="1"/>
    <col min="15874" max="15874" width="9" style="1" customWidth="1"/>
    <col min="15875" max="15875" width="10.85546875" style="1" customWidth="1"/>
    <col min="15876" max="16123" width="8.85546875" style="1"/>
    <col min="16124" max="16124" width="20.85546875" style="1" customWidth="1"/>
    <col min="16125" max="16125" width="27.5703125" style="1" customWidth="1"/>
    <col min="16126" max="16126" width="18.140625" style="1" customWidth="1"/>
    <col min="16127" max="16127" width="14.42578125" style="1" customWidth="1"/>
    <col min="16128" max="16128" width="16.140625" style="1" customWidth="1"/>
    <col min="16129" max="16129" width="10.140625" style="1" customWidth="1"/>
    <col min="16130" max="16130" width="9" style="1" customWidth="1"/>
    <col min="16131" max="16131" width="10.85546875" style="1" customWidth="1"/>
    <col min="16132" max="16379" width="8.85546875" style="1"/>
    <col min="16380" max="16384" width="8.85546875" style="1" customWidth="1"/>
  </cols>
  <sheetData>
    <row r="3" spans="2:11" ht="48" customHeight="1" x14ac:dyDescent="0.2">
      <c r="B3" s="240" t="s">
        <v>428</v>
      </c>
      <c r="C3" s="240"/>
      <c r="D3" s="240"/>
      <c r="E3" s="240"/>
      <c r="F3" s="240"/>
      <c r="G3" s="240"/>
    </row>
    <row r="4" spans="2:11" s="7" customFormat="1" ht="12.75" customHeight="1" x14ac:dyDescent="0.2"/>
    <row r="5" spans="2:11" ht="44.45" customHeight="1" x14ac:dyDescent="0.2">
      <c r="B5" s="6" t="s">
        <v>392</v>
      </c>
      <c r="C5" s="6" t="s">
        <v>0</v>
      </c>
      <c r="D5" s="6" t="s">
        <v>354</v>
      </c>
      <c r="E5" s="6" t="s">
        <v>7</v>
      </c>
      <c r="F5" s="6" t="s">
        <v>6</v>
      </c>
      <c r="G5" s="6" t="s">
        <v>1</v>
      </c>
      <c r="H5" s="6" t="s">
        <v>423</v>
      </c>
      <c r="I5" s="6" t="s">
        <v>3</v>
      </c>
      <c r="K5" s="211" t="s">
        <v>417</v>
      </c>
    </row>
    <row r="6" spans="2:11" x14ac:dyDescent="0.2">
      <c r="B6" s="6" t="s">
        <v>408</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4"/>
      <c r="E11" s="4"/>
      <c r="F11" s="184" t="s">
        <v>355</v>
      </c>
      <c r="G11" s="194">
        <f>SUM(G6:G10)</f>
        <v>0</v>
      </c>
      <c r="H11" s="197" t="s">
        <v>361</v>
      </c>
      <c r="I11" s="16">
        <f>SUM(I6:I10)</f>
        <v>0</v>
      </c>
    </row>
    <row r="12" spans="2:11" x14ac:dyDescent="0.2">
      <c r="B12" s="4"/>
      <c r="C12" s="4"/>
      <c r="D12" s="4"/>
      <c r="E12" s="5"/>
      <c r="F12" s="185"/>
      <c r="G12" s="186"/>
      <c r="H12" s="5"/>
      <c r="I12" s="5"/>
    </row>
  </sheetData>
  <mergeCells count="1">
    <mergeCell ref="B3:G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1589-BFB3-4BD4-BCFF-BF0D8CD3F426}">
  <dimension ref="B3:K47"/>
  <sheetViews>
    <sheetView workbookViewId="0">
      <selection activeCell="K33" sqref="K33"/>
    </sheetView>
  </sheetViews>
  <sheetFormatPr defaultRowHeight="12.75" x14ac:dyDescent="0.2"/>
  <cols>
    <col min="1" max="1" width="8.85546875" style="1"/>
    <col min="2" max="2" width="28.140625" style="1" customWidth="1"/>
    <col min="3" max="3" width="31.42578125" style="1" customWidth="1"/>
    <col min="4" max="4" width="17.85546875" style="1" customWidth="1"/>
    <col min="5" max="5" width="15.5703125" style="1" customWidth="1"/>
    <col min="6" max="6" width="15" style="1" customWidth="1"/>
    <col min="7" max="7" width="15.140625" style="1" customWidth="1"/>
    <col min="8" max="8" width="17.85546875" style="1" customWidth="1"/>
    <col min="9" max="9" width="20.140625" style="1" customWidth="1"/>
    <col min="10" max="10" width="8.85546875" style="1"/>
    <col min="11" max="11" width="16.85546875"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83" width="8.85546875" style="1"/>
    <col min="16384" max="16384" width="8.85546875" style="1" customWidth="1"/>
  </cols>
  <sheetData>
    <row r="3" spans="2:11" ht="66" customHeight="1" x14ac:dyDescent="0.2">
      <c r="B3" s="240" t="s">
        <v>427</v>
      </c>
      <c r="C3" s="240"/>
      <c r="D3" s="240"/>
      <c r="E3" s="240"/>
      <c r="F3" s="240"/>
      <c r="G3" s="240"/>
      <c r="H3" s="240"/>
      <c r="I3" s="18"/>
    </row>
    <row r="4" spans="2:11" s="7" customFormat="1" ht="12.75" customHeight="1" x14ac:dyDescent="0.2"/>
    <row r="5" spans="2:11" ht="44.45" customHeight="1" x14ac:dyDescent="0.2">
      <c r="B5" s="6" t="s">
        <v>8</v>
      </c>
      <c r="C5" s="6" t="s">
        <v>0</v>
      </c>
      <c r="D5" s="6" t="s">
        <v>354</v>
      </c>
      <c r="E5" s="6" t="s">
        <v>7</v>
      </c>
      <c r="F5" s="6" t="s">
        <v>6</v>
      </c>
      <c r="G5" s="6" t="s">
        <v>1</v>
      </c>
      <c r="H5" s="6" t="s">
        <v>423</v>
      </c>
      <c r="I5" s="6" t="s">
        <v>3</v>
      </c>
      <c r="K5" s="211" t="s">
        <v>417</v>
      </c>
    </row>
    <row r="6" spans="2:11" x14ac:dyDescent="0.2">
      <c r="B6" s="6" t="s">
        <v>370</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203"/>
      <c r="E11" s="201"/>
      <c r="F11" s="184" t="s">
        <v>375</v>
      </c>
      <c r="G11" s="194">
        <f>SUM(G6:G10)</f>
        <v>0</v>
      </c>
      <c r="H11" s="197" t="s">
        <v>361</v>
      </c>
      <c r="I11" s="16">
        <f>SUM(I6:I10)</f>
        <v>0</v>
      </c>
    </row>
    <row r="12" spans="2:11" x14ac:dyDescent="0.2">
      <c r="B12" s="4"/>
      <c r="C12" s="4"/>
      <c r="D12" s="201"/>
      <c r="E12" s="2"/>
      <c r="F12" s="198" t="s">
        <v>377</v>
      </c>
      <c r="G12" s="205">
        <v>18290</v>
      </c>
      <c r="H12" s="5"/>
      <c r="I12" s="5"/>
    </row>
    <row r="13" spans="2:11" x14ac:dyDescent="0.2">
      <c r="B13" s="4"/>
      <c r="C13" s="4"/>
      <c r="D13" s="4"/>
      <c r="E13" s="4"/>
      <c r="F13" s="4"/>
      <c r="G13" s="4"/>
      <c r="H13" s="4"/>
      <c r="I13" s="4"/>
    </row>
    <row r="14" spans="2:11" x14ac:dyDescent="0.2">
      <c r="B14" s="200" t="s">
        <v>371</v>
      </c>
      <c r="C14" s="13"/>
      <c r="D14" s="13"/>
      <c r="E14" s="13"/>
      <c r="F14" s="13"/>
      <c r="G14" s="14"/>
      <c r="H14" s="199"/>
      <c r="I14" s="15">
        <f>G14*H14</f>
        <v>0</v>
      </c>
    </row>
    <row r="15" spans="2:11" x14ac:dyDescent="0.2">
      <c r="B15" s="5"/>
      <c r="C15" s="8"/>
      <c r="D15" s="8"/>
      <c r="E15" s="8"/>
      <c r="F15" s="8"/>
      <c r="G15" s="8"/>
      <c r="H15" s="17"/>
      <c r="I15" s="15">
        <f t="shared" ref="I15:I18" si="1">G15*H15</f>
        <v>0</v>
      </c>
    </row>
    <row r="16" spans="2:11" x14ac:dyDescent="0.2">
      <c r="B16" s="5"/>
      <c r="C16" s="8"/>
      <c r="D16" s="8"/>
      <c r="E16" s="8"/>
      <c r="F16" s="8"/>
      <c r="G16" s="8"/>
      <c r="H16" s="17"/>
      <c r="I16" s="15">
        <f t="shared" si="1"/>
        <v>0</v>
      </c>
    </row>
    <row r="17" spans="2:9" x14ac:dyDescent="0.2">
      <c r="B17" s="5"/>
      <c r="C17" s="8"/>
      <c r="D17" s="8"/>
      <c r="E17" s="8"/>
      <c r="F17" s="8"/>
      <c r="G17" s="8"/>
      <c r="H17" s="17"/>
      <c r="I17" s="15">
        <f t="shared" si="1"/>
        <v>0</v>
      </c>
    </row>
    <row r="18" spans="2:9" x14ac:dyDescent="0.2">
      <c r="B18" s="5"/>
      <c r="C18" s="8"/>
      <c r="D18" s="8"/>
      <c r="E18" s="8"/>
      <c r="F18" s="8"/>
      <c r="G18" s="8"/>
      <c r="H18" s="17"/>
      <c r="I18" s="15">
        <f t="shared" si="1"/>
        <v>0</v>
      </c>
    </row>
    <row r="19" spans="2:9" x14ac:dyDescent="0.2">
      <c r="B19" s="5"/>
      <c r="C19" s="3"/>
      <c r="D19" s="203"/>
      <c r="E19" s="12"/>
      <c r="F19" s="184" t="s">
        <v>379</v>
      </c>
      <c r="G19" s="194">
        <f>SUM(G14:G18)</f>
        <v>0</v>
      </c>
      <c r="H19" s="197" t="s">
        <v>362</v>
      </c>
      <c r="I19" s="16">
        <f>SUM(I14:I18)</f>
        <v>0</v>
      </c>
    </row>
    <row r="20" spans="2:9" x14ac:dyDescent="0.2">
      <c r="B20" s="3"/>
      <c r="C20" s="4"/>
      <c r="D20" s="201"/>
      <c r="E20" s="2"/>
      <c r="F20" s="10" t="s">
        <v>376</v>
      </c>
      <c r="G20" s="205">
        <v>21948</v>
      </c>
      <c r="H20" s="5"/>
      <c r="I20" s="5"/>
    </row>
    <row r="21" spans="2:9" x14ac:dyDescent="0.2">
      <c r="B21" s="4"/>
      <c r="C21" s="4"/>
      <c r="D21" s="4"/>
      <c r="E21" s="4"/>
      <c r="F21" s="4"/>
      <c r="G21" s="4"/>
      <c r="H21" s="4"/>
      <c r="I21" s="4"/>
    </row>
    <row r="22" spans="2:9" x14ac:dyDescent="0.2">
      <c r="B22" s="200" t="s">
        <v>372</v>
      </c>
      <c r="C22" s="13"/>
      <c r="D22" s="13"/>
      <c r="E22" s="13"/>
      <c r="F22" s="13"/>
      <c r="G22" s="14"/>
      <c r="H22" s="199"/>
      <c r="I22" s="15">
        <f>G22*H22</f>
        <v>0</v>
      </c>
    </row>
    <row r="23" spans="2:9" x14ac:dyDescent="0.2">
      <c r="B23" s="5"/>
      <c r="C23" s="8"/>
      <c r="D23" s="8"/>
      <c r="E23" s="8"/>
      <c r="F23" s="8"/>
      <c r="G23" s="8"/>
      <c r="H23" s="17"/>
      <c r="I23" s="15">
        <f t="shared" ref="I23:I26" si="2">G23*H23</f>
        <v>0</v>
      </c>
    </row>
    <row r="24" spans="2:9" x14ac:dyDescent="0.2">
      <c r="B24" s="5"/>
      <c r="C24" s="8"/>
      <c r="D24" s="8"/>
      <c r="E24" s="8"/>
      <c r="F24" s="8"/>
      <c r="G24" s="8"/>
      <c r="H24" s="17"/>
      <c r="I24" s="15">
        <f t="shared" si="2"/>
        <v>0</v>
      </c>
    </row>
    <row r="25" spans="2:9" x14ac:dyDescent="0.2">
      <c r="B25" s="5"/>
      <c r="C25" s="8"/>
      <c r="D25" s="8"/>
      <c r="E25" s="8"/>
      <c r="F25" s="8"/>
      <c r="G25" s="8"/>
      <c r="H25" s="17"/>
      <c r="I25" s="15">
        <f t="shared" si="2"/>
        <v>0</v>
      </c>
    </row>
    <row r="26" spans="2:9" x14ac:dyDescent="0.2">
      <c r="B26" s="5"/>
      <c r="C26" s="8"/>
      <c r="D26" s="8"/>
      <c r="E26" s="8"/>
      <c r="F26" s="8"/>
      <c r="G26" s="8"/>
      <c r="H26" s="17"/>
      <c r="I26" s="15">
        <f t="shared" si="2"/>
        <v>0</v>
      </c>
    </row>
    <row r="27" spans="2:9" x14ac:dyDescent="0.2">
      <c r="B27" s="5"/>
      <c r="C27" s="3"/>
      <c r="D27" s="203"/>
      <c r="E27" s="12"/>
      <c r="F27" s="202" t="s">
        <v>380</v>
      </c>
      <c r="G27" s="194">
        <f>SUM(G22:G26)</f>
        <v>0</v>
      </c>
      <c r="H27" s="197" t="s">
        <v>363</v>
      </c>
      <c r="I27" s="16">
        <f>SUM(I22:I26)</f>
        <v>0</v>
      </c>
    </row>
    <row r="28" spans="2:9" x14ac:dyDescent="0.2">
      <c r="B28" s="3"/>
      <c r="C28" s="4"/>
      <c r="D28" s="201"/>
      <c r="E28" s="2"/>
      <c r="F28" s="10" t="s">
        <v>378</v>
      </c>
      <c r="G28" s="205">
        <v>21948</v>
      </c>
      <c r="H28" s="5"/>
      <c r="I28" s="5"/>
    </row>
    <row r="29" spans="2:9" x14ac:dyDescent="0.2">
      <c r="B29" s="4"/>
      <c r="C29" s="4"/>
      <c r="D29" s="4"/>
      <c r="E29" s="4"/>
      <c r="F29" s="4"/>
      <c r="G29" s="4"/>
      <c r="H29" s="4"/>
      <c r="I29" s="4"/>
    </row>
    <row r="30" spans="2:9" x14ac:dyDescent="0.2">
      <c r="B30" s="200" t="s">
        <v>373</v>
      </c>
      <c r="C30" s="13"/>
      <c r="D30" s="13"/>
      <c r="E30" s="13"/>
      <c r="F30" s="13"/>
      <c r="G30" s="14"/>
      <c r="H30" s="199"/>
      <c r="I30" s="15">
        <f>G30*H30</f>
        <v>0</v>
      </c>
    </row>
    <row r="31" spans="2:9" x14ac:dyDescent="0.2">
      <c r="B31" s="5"/>
      <c r="C31" s="8"/>
      <c r="D31" s="8"/>
      <c r="E31" s="8"/>
      <c r="F31" s="8"/>
      <c r="G31" s="8"/>
      <c r="H31" s="17"/>
      <c r="I31" s="15">
        <f t="shared" ref="I31:I34" si="3">G31*H31</f>
        <v>0</v>
      </c>
    </row>
    <row r="32" spans="2:9" x14ac:dyDescent="0.2">
      <c r="B32" s="5"/>
      <c r="C32" s="8"/>
      <c r="D32" s="8"/>
      <c r="E32" s="8"/>
      <c r="F32" s="8"/>
      <c r="G32" s="8"/>
      <c r="H32" s="17"/>
      <c r="I32" s="15">
        <f t="shared" si="3"/>
        <v>0</v>
      </c>
    </row>
    <row r="33" spans="2:9" x14ac:dyDescent="0.2">
      <c r="B33" s="5"/>
      <c r="C33" s="8"/>
      <c r="D33" s="8"/>
      <c r="E33" s="8"/>
      <c r="F33" s="8"/>
      <c r="G33" s="8"/>
      <c r="H33" s="17"/>
      <c r="I33" s="15">
        <f t="shared" si="3"/>
        <v>0</v>
      </c>
    </row>
    <row r="34" spans="2:9" x14ac:dyDescent="0.2">
      <c r="B34" s="5"/>
      <c r="C34" s="8"/>
      <c r="D34" s="8"/>
      <c r="E34" s="8"/>
      <c r="F34" s="8"/>
      <c r="G34" s="8"/>
      <c r="H34" s="17"/>
      <c r="I34" s="15">
        <f t="shared" si="3"/>
        <v>0</v>
      </c>
    </row>
    <row r="35" spans="2:9" x14ac:dyDescent="0.2">
      <c r="B35" s="5"/>
      <c r="C35" s="3"/>
      <c r="D35" s="203"/>
      <c r="E35" s="12"/>
      <c r="F35" s="202" t="s">
        <v>381</v>
      </c>
      <c r="G35" s="194">
        <f>SUM(G30:G34)</f>
        <v>0</v>
      </c>
      <c r="H35" s="197" t="s">
        <v>364</v>
      </c>
      <c r="I35" s="16">
        <f>SUM(I30:I34)</f>
        <v>0</v>
      </c>
    </row>
    <row r="36" spans="2:9" x14ac:dyDescent="0.2">
      <c r="B36" s="3"/>
      <c r="C36" s="4"/>
      <c r="D36" s="201"/>
      <c r="E36" s="2"/>
      <c r="F36" s="10" t="s">
        <v>382</v>
      </c>
      <c r="G36" s="205">
        <v>21948</v>
      </c>
      <c r="H36" s="5"/>
      <c r="I36" s="5"/>
    </row>
    <row r="37" spans="2:9" x14ac:dyDescent="0.2">
      <c r="B37" s="4"/>
      <c r="C37" s="4"/>
      <c r="D37" s="4"/>
      <c r="E37" s="4"/>
      <c r="F37" s="4"/>
      <c r="G37" s="4"/>
      <c r="H37" s="4"/>
      <c r="I37" s="4"/>
    </row>
    <row r="38" spans="2:9" x14ac:dyDescent="0.2">
      <c r="B38" s="200" t="s">
        <v>374</v>
      </c>
      <c r="C38" s="13"/>
      <c r="D38" s="13"/>
      <c r="E38" s="13"/>
      <c r="F38" s="13"/>
      <c r="G38" s="14"/>
      <c r="H38" s="199"/>
      <c r="I38" s="15">
        <f>G38*H38</f>
        <v>0</v>
      </c>
    </row>
    <row r="39" spans="2:9" x14ac:dyDescent="0.2">
      <c r="B39" s="5"/>
      <c r="C39" s="8"/>
      <c r="D39" s="8"/>
      <c r="E39" s="8"/>
      <c r="F39" s="8"/>
      <c r="G39" s="8"/>
      <c r="H39" s="17"/>
      <c r="I39" s="15">
        <f t="shared" ref="I39:I42" si="4">G39*H39</f>
        <v>0</v>
      </c>
    </row>
    <row r="40" spans="2:9" x14ac:dyDescent="0.2">
      <c r="B40" s="5"/>
      <c r="C40" s="8"/>
      <c r="D40" s="8"/>
      <c r="E40" s="8"/>
      <c r="F40" s="8"/>
      <c r="G40" s="8"/>
      <c r="H40" s="17"/>
      <c r="I40" s="15">
        <f t="shared" si="4"/>
        <v>0</v>
      </c>
    </row>
    <row r="41" spans="2:9" x14ac:dyDescent="0.2">
      <c r="B41" s="5"/>
      <c r="C41" s="8"/>
      <c r="D41" s="8"/>
      <c r="E41" s="8"/>
      <c r="F41" s="8"/>
      <c r="G41" s="8"/>
      <c r="H41" s="17"/>
      <c r="I41" s="15">
        <f t="shared" si="4"/>
        <v>0</v>
      </c>
    </row>
    <row r="42" spans="2:9" x14ac:dyDescent="0.2">
      <c r="B42" s="5"/>
      <c r="C42" s="8"/>
      <c r="D42" s="8"/>
      <c r="E42" s="8"/>
      <c r="F42" s="8"/>
      <c r="G42" s="8"/>
      <c r="H42" s="17"/>
      <c r="I42" s="15">
        <f t="shared" si="4"/>
        <v>0</v>
      </c>
    </row>
    <row r="43" spans="2:9" x14ac:dyDescent="0.2">
      <c r="B43" s="5"/>
      <c r="C43" s="3"/>
      <c r="D43" s="203"/>
      <c r="E43" s="12"/>
      <c r="F43" s="202" t="s">
        <v>383</v>
      </c>
      <c r="G43" s="194">
        <f>SUM(G38:G42)</f>
        <v>0</v>
      </c>
      <c r="H43" s="197" t="s">
        <v>365</v>
      </c>
      <c r="I43" s="16">
        <f>SUM(I38:I42)</f>
        <v>0</v>
      </c>
    </row>
    <row r="44" spans="2:9" x14ac:dyDescent="0.2">
      <c r="B44" s="3"/>
      <c r="C44" s="4"/>
      <c r="D44" s="201"/>
      <c r="E44" s="2"/>
      <c r="F44" s="10" t="s">
        <v>384</v>
      </c>
      <c r="G44" s="205">
        <v>21948</v>
      </c>
      <c r="H44" s="5"/>
      <c r="I44" s="5"/>
    </row>
    <row r="45" spans="2:9" x14ac:dyDescent="0.2">
      <c r="B45" s="5"/>
      <c r="C45" s="5"/>
      <c r="D45" s="5"/>
      <c r="E45" s="5"/>
      <c r="F45" s="5"/>
      <c r="G45" s="5"/>
      <c r="H45" s="5"/>
      <c r="I45" s="5"/>
    </row>
    <row r="47" spans="2:9" x14ac:dyDescent="0.2">
      <c r="F47" s="195"/>
      <c r="G47" s="9"/>
      <c r="H47" s="10" t="s">
        <v>367</v>
      </c>
      <c r="I47" s="19">
        <f>I11+I19+I27+I35+I43</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98ACC-E2BF-4480-8729-E2AC51236A0D}">
  <dimension ref="B3:K42"/>
  <sheetViews>
    <sheetView workbookViewId="0">
      <selection activeCell="B3" sqref="B3:H3"/>
    </sheetView>
  </sheetViews>
  <sheetFormatPr defaultRowHeight="12.75" x14ac:dyDescent="0.2"/>
  <cols>
    <col min="1" max="1" width="8.85546875" style="1"/>
    <col min="2" max="2" width="21.140625" style="1" customWidth="1"/>
    <col min="3" max="3" width="34.85546875" style="1" customWidth="1"/>
    <col min="4" max="4" width="14.140625" style="1" customWidth="1"/>
    <col min="5" max="6" width="17.42578125" style="1" customWidth="1"/>
    <col min="7" max="7" width="12.140625" style="193" customWidth="1"/>
    <col min="8" max="8" width="17.85546875" style="1" customWidth="1"/>
    <col min="9" max="9" width="20.140625" style="1" customWidth="1"/>
    <col min="10" max="10" width="8.85546875" style="1"/>
    <col min="11" max="11" width="17"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79" width="8.85546875" style="1"/>
    <col min="16380" max="16384" width="8.85546875" style="1" customWidth="1"/>
  </cols>
  <sheetData>
    <row r="3" spans="2:11" ht="46.5" customHeight="1" x14ac:dyDescent="0.2">
      <c r="B3" s="241" t="s">
        <v>429</v>
      </c>
      <c r="C3" s="241"/>
      <c r="D3" s="241"/>
      <c r="E3" s="241"/>
      <c r="F3" s="241"/>
      <c r="G3" s="241"/>
      <c r="H3" s="241"/>
    </row>
    <row r="4" spans="2:11" s="7" customFormat="1" ht="12.75" customHeight="1" x14ac:dyDescent="0.2">
      <c r="G4" s="182"/>
    </row>
    <row r="5" spans="2:11" ht="44.45" customHeight="1" x14ac:dyDescent="0.2">
      <c r="B5" s="6" t="s">
        <v>392</v>
      </c>
      <c r="C5" s="6" t="s">
        <v>0</v>
      </c>
      <c r="D5" s="6" t="s">
        <v>354</v>
      </c>
      <c r="E5" s="6" t="s">
        <v>7</v>
      </c>
      <c r="F5" s="6" t="s">
        <v>6</v>
      </c>
      <c r="G5" s="6" t="s">
        <v>1</v>
      </c>
      <c r="H5" s="6" t="s">
        <v>423</v>
      </c>
      <c r="I5" s="6" t="s">
        <v>3</v>
      </c>
      <c r="K5" s="211" t="s">
        <v>417</v>
      </c>
    </row>
    <row r="6" spans="2:11" x14ac:dyDescent="0.2">
      <c r="B6" s="6" t="s">
        <v>403</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4"/>
      <c r="E11" s="4"/>
      <c r="F11" s="184" t="s">
        <v>355</v>
      </c>
      <c r="G11" s="194">
        <f>SUM(G6:G10)</f>
        <v>0</v>
      </c>
      <c r="H11" s="197" t="s">
        <v>361</v>
      </c>
      <c r="I11" s="16">
        <f>SUM(I6:I10)</f>
        <v>0</v>
      </c>
    </row>
    <row r="12" spans="2:11" x14ac:dyDescent="0.2">
      <c r="B12" s="4"/>
      <c r="C12" s="4"/>
      <c r="D12" s="4"/>
      <c r="E12" s="5"/>
      <c r="F12" s="185"/>
      <c r="G12" s="186"/>
      <c r="H12" s="5"/>
      <c r="I12" s="5"/>
    </row>
    <row r="13" spans="2:11" ht="25.5" x14ac:dyDescent="0.2">
      <c r="B13" s="6" t="s">
        <v>404</v>
      </c>
      <c r="C13" s="13"/>
      <c r="D13" s="13"/>
      <c r="E13" s="14"/>
      <c r="F13" s="187"/>
      <c r="G13" s="188"/>
      <c r="H13" s="17"/>
      <c r="I13" s="15">
        <f>G13*H13</f>
        <v>0</v>
      </c>
    </row>
    <row r="14" spans="2:11" x14ac:dyDescent="0.2">
      <c r="B14" s="5"/>
      <c r="C14" s="8"/>
      <c r="D14" s="8"/>
      <c r="E14" s="8"/>
      <c r="F14" s="189"/>
      <c r="G14" s="183"/>
      <c r="H14" s="17"/>
      <c r="I14" s="15">
        <f t="shared" ref="I14:I17" si="1">G14*H14</f>
        <v>0</v>
      </c>
    </row>
    <row r="15" spans="2:11" x14ac:dyDescent="0.2">
      <c r="B15" s="5"/>
      <c r="C15" s="8"/>
      <c r="D15" s="8"/>
      <c r="E15" s="8"/>
      <c r="F15" s="189"/>
      <c r="G15" s="183"/>
      <c r="H15" s="17"/>
      <c r="I15" s="15">
        <f t="shared" si="1"/>
        <v>0</v>
      </c>
    </row>
    <row r="16" spans="2:11" x14ac:dyDescent="0.2">
      <c r="B16" s="5"/>
      <c r="C16" s="8"/>
      <c r="D16" s="8"/>
      <c r="E16" s="8"/>
      <c r="F16" s="189"/>
      <c r="G16" s="183"/>
      <c r="H16" s="17"/>
      <c r="I16" s="15">
        <f t="shared" si="1"/>
        <v>0</v>
      </c>
    </row>
    <row r="17" spans="2:9" x14ac:dyDescent="0.2">
      <c r="B17" s="5"/>
      <c r="C17" s="8"/>
      <c r="D17" s="8"/>
      <c r="E17" s="8"/>
      <c r="F17" s="189"/>
      <c r="G17" s="183"/>
      <c r="H17" s="17"/>
      <c r="I17" s="15">
        <f t="shared" si="1"/>
        <v>0</v>
      </c>
    </row>
    <row r="18" spans="2:9" x14ac:dyDescent="0.2">
      <c r="B18" s="5"/>
      <c r="C18" s="3"/>
      <c r="D18" s="3"/>
      <c r="E18" s="3"/>
      <c r="F18" s="190" t="s">
        <v>356</v>
      </c>
      <c r="G18" s="194">
        <f>SUM(G13:G17)</f>
        <v>0</v>
      </c>
      <c r="H18" s="197" t="s">
        <v>362</v>
      </c>
      <c r="I18" s="16">
        <f>SUM(I13:I17)</f>
        <v>0</v>
      </c>
    </row>
    <row r="19" spans="2:9" x14ac:dyDescent="0.2">
      <c r="B19" s="5"/>
      <c r="C19" s="5"/>
      <c r="D19" s="5"/>
      <c r="E19" s="5"/>
      <c r="F19" s="191"/>
      <c r="G19" s="192"/>
      <c r="H19" s="5"/>
      <c r="I19" s="5"/>
    </row>
    <row r="20" spans="2:9" ht="25.5" x14ac:dyDescent="0.2">
      <c r="B20" s="6" t="s">
        <v>405</v>
      </c>
      <c r="C20" s="13"/>
      <c r="D20" s="13"/>
      <c r="E20" s="14"/>
      <c r="F20" s="187"/>
      <c r="G20" s="188"/>
      <c r="H20" s="17"/>
      <c r="I20" s="15">
        <f>G20*H20</f>
        <v>0</v>
      </c>
    </row>
    <row r="21" spans="2:9" x14ac:dyDescent="0.2">
      <c r="B21" s="5"/>
      <c r="C21" s="8"/>
      <c r="D21" s="8"/>
      <c r="E21" s="8"/>
      <c r="F21" s="189"/>
      <c r="G21" s="183"/>
      <c r="H21" s="17"/>
      <c r="I21" s="15">
        <f t="shared" ref="I21:I24" si="2">G21*H21</f>
        <v>0</v>
      </c>
    </row>
    <row r="22" spans="2:9" x14ac:dyDescent="0.2">
      <c r="B22" s="5"/>
      <c r="C22" s="8"/>
      <c r="D22" s="8"/>
      <c r="E22" s="8"/>
      <c r="F22" s="189"/>
      <c r="G22" s="183"/>
      <c r="H22" s="17"/>
      <c r="I22" s="15">
        <f t="shared" si="2"/>
        <v>0</v>
      </c>
    </row>
    <row r="23" spans="2:9" x14ac:dyDescent="0.2">
      <c r="B23" s="5"/>
      <c r="C23" s="8"/>
      <c r="D23" s="8"/>
      <c r="E23" s="8"/>
      <c r="F23" s="189"/>
      <c r="G23" s="183"/>
      <c r="H23" s="17"/>
      <c r="I23" s="15">
        <f t="shared" si="2"/>
        <v>0</v>
      </c>
    </row>
    <row r="24" spans="2:9" x14ac:dyDescent="0.2">
      <c r="B24" s="5"/>
      <c r="C24" s="8"/>
      <c r="D24" s="8"/>
      <c r="E24" s="8"/>
      <c r="F24" s="189"/>
      <c r="G24" s="183"/>
      <c r="H24" s="17"/>
      <c r="I24" s="15">
        <f t="shared" si="2"/>
        <v>0</v>
      </c>
    </row>
    <row r="25" spans="2:9" x14ac:dyDescent="0.2">
      <c r="B25" s="5"/>
      <c r="C25" s="3"/>
      <c r="D25" s="3"/>
      <c r="E25" s="3"/>
      <c r="F25" s="190" t="s">
        <v>357</v>
      </c>
      <c r="G25" s="194">
        <f>SUM(G20:G24)</f>
        <v>0</v>
      </c>
      <c r="H25" s="197" t="s">
        <v>363</v>
      </c>
      <c r="I25" s="16">
        <f>SUM(I20:I24)</f>
        <v>0</v>
      </c>
    </row>
    <row r="26" spans="2:9" x14ac:dyDescent="0.2">
      <c r="B26" s="5"/>
      <c r="C26" s="5"/>
      <c r="D26" s="5"/>
      <c r="E26" s="5"/>
      <c r="F26" s="191"/>
      <c r="G26" s="192"/>
      <c r="H26" s="5"/>
      <c r="I26" s="5"/>
    </row>
    <row r="27" spans="2:9" ht="25.5" x14ac:dyDescent="0.2">
      <c r="B27" s="6" t="s">
        <v>406</v>
      </c>
      <c r="C27" s="13"/>
      <c r="D27" s="13"/>
      <c r="E27" s="14"/>
      <c r="F27" s="187"/>
      <c r="G27" s="188"/>
      <c r="H27" s="17"/>
      <c r="I27" s="15">
        <f>G27*H27</f>
        <v>0</v>
      </c>
    </row>
    <row r="28" spans="2:9" x14ac:dyDescent="0.2">
      <c r="B28" s="5"/>
      <c r="C28" s="8"/>
      <c r="D28" s="8"/>
      <c r="E28" s="8"/>
      <c r="F28" s="189"/>
      <c r="G28" s="183"/>
      <c r="H28" s="17"/>
      <c r="I28" s="15">
        <f t="shared" ref="I28:I31" si="3">G28*H28</f>
        <v>0</v>
      </c>
    </row>
    <row r="29" spans="2:9" x14ac:dyDescent="0.2">
      <c r="B29" s="5"/>
      <c r="C29" s="8"/>
      <c r="D29" s="8"/>
      <c r="E29" s="8"/>
      <c r="F29" s="189"/>
      <c r="G29" s="183"/>
      <c r="H29" s="17"/>
      <c r="I29" s="15">
        <f t="shared" si="3"/>
        <v>0</v>
      </c>
    </row>
    <row r="30" spans="2:9" x14ac:dyDescent="0.2">
      <c r="B30" s="5"/>
      <c r="C30" s="8"/>
      <c r="D30" s="8"/>
      <c r="E30" s="8"/>
      <c r="F30" s="189"/>
      <c r="G30" s="183"/>
      <c r="H30" s="17"/>
      <c r="I30" s="15">
        <f t="shared" si="3"/>
        <v>0</v>
      </c>
    </row>
    <row r="31" spans="2:9" x14ac:dyDescent="0.2">
      <c r="B31" s="5"/>
      <c r="C31" s="8"/>
      <c r="D31" s="8"/>
      <c r="E31" s="8"/>
      <c r="F31" s="189"/>
      <c r="G31" s="183"/>
      <c r="H31" s="17"/>
      <c r="I31" s="15">
        <f t="shared" si="3"/>
        <v>0</v>
      </c>
    </row>
    <row r="32" spans="2:9" x14ac:dyDescent="0.2">
      <c r="B32" s="5"/>
      <c r="C32" s="3"/>
      <c r="D32" s="3"/>
      <c r="E32" s="3"/>
      <c r="F32" s="190" t="s">
        <v>358</v>
      </c>
      <c r="G32" s="194">
        <f>SUM(G27:G31)</f>
        <v>0</v>
      </c>
      <c r="H32" s="197" t="s">
        <v>364</v>
      </c>
      <c r="I32" s="16">
        <f>SUM(I27:I31)</f>
        <v>0</v>
      </c>
    </row>
    <row r="33" spans="2:9" x14ac:dyDescent="0.2">
      <c r="B33" s="5"/>
      <c r="C33" s="5"/>
      <c r="D33" s="5"/>
      <c r="E33" s="5"/>
      <c r="F33" s="191"/>
      <c r="G33" s="192"/>
      <c r="H33" s="5"/>
      <c r="I33" s="5"/>
    </row>
    <row r="34" spans="2:9" ht="25.5" x14ac:dyDescent="0.2">
      <c r="B34" s="6" t="s">
        <v>407</v>
      </c>
      <c r="C34" s="13"/>
      <c r="D34" s="13"/>
      <c r="E34" s="14"/>
      <c r="F34" s="187"/>
      <c r="G34" s="188"/>
      <c r="H34" s="17"/>
      <c r="I34" s="15">
        <f>G34*H34</f>
        <v>0</v>
      </c>
    </row>
    <row r="35" spans="2:9" x14ac:dyDescent="0.2">
      <c r="B35" s="5"/>
      <c r="C35" s="8"/>
      <c r="D35" s="8"/>
      <c r="E35" s="8"/>
      <c r="F35" s="189"/>
      <c r="G35" s="183"/>
      <c r="H35" s="17"/>
      <c r="I35" s="15">
        <f t="shared" ref="I35:I38" si="4">G35*H35</f>
        <v>0</v>
      </c>
    </row>
    <row r="36" spans="2:9" x14ac:dyDescent="0.2">
      <c r="B36" s="5"/>
      <c r="C36" s="8"/>
      <c r="D36" s="8"/>
      <c r="E36" s="8"/>
      <c r="F36" s="189"/>
      <c r="G36" s="183"/>
      <c r="H36" s="17"/>
      <c r="I36" s="15">
        <f t="shared" si="4"/>
        <v>0</v>
      </c>
    </row>
    <row r="37" spans="2:9" x14ac:dyDescent="0.2">
      <c r="B37" s="5"/>
      <c r="C37" s="8"/>
      <c r="D37" s="8"/>
      <c r="E37" s="8"/>
      <c r="F37" s="189"/>
      <c r="G37" s="183"/>
      <c r="H37" s="17"/>
      <c r="I37" s="15">
        <f t="shared" si="4"/>
        <v>0</v>
      </c>
    </row>
    <row r="38" spans="2:9" x14ac:dyDescent="0.2">
      <c r="B38" s="5"/>
      <c r="C38" s="8"/>
      <c r="D38" s="8"/>
      <c r="E38" s="8"/>
      <c r="F38" s="189"/>
      <c r="G38" s="183"/>
      <c r="H38" s="17"/>
      <c r="I38" s="15">
        <f t="shared" si="4"/>
        <v>0</v>
      </c>
    </row>
    <row r="39" spans="2:9" x14ac:dyDescent="0.2">
      <c r="B39" s="5"/>
      <c r="C39" s="3"/>
      <c r="D39" s="3"/>
      <c r="E39" s="3"/>
      <c r="F39" s="190" t="s">
        <v>359</v>
      </c>
      <c r="G39" s="194">
        <f>SUM(G34:G38)</f>
        <v>0</v>
      </c>
      <c r="H39" s="197" t="s">
        <v>365</v>
      </c>
      <c r="I39" s="16">
        <f>SUM(I34:I38)</f>
        <v>0</v>
      </c>
    </row>
    <row r="40" spans="2:9" x14ac:dyDescent="0.2">
      <c r="B40" s="5"/>
      <c r="C40" s="5"/>
      <c r="D40" s="5"/>
      <c r="E40" s="5"/>
      <c r="F40" s="191"/>
      <c r="G40" s="192"/>
      <c r="H40" s="5"/>
      <c r="I40" s="5"/>
    </row>
    <row r="42" spans="2:9" x14ac:dyDescent="0.2">
      <c r="F42" s="195"/>
      <c r="G42" s="196"/>
      <c r="H42" s="10" t="s">
        <v>366</v>
      </c>
      <c r="I42" s="19">
        <f>I11+I18+I25+I32+I39</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B5732-351D-43BA-AE13-28F0D362D770}">
  <dimension ref="B3:K42"/>
  <sheetViews>
    <sheetView workbookViewId="0">
      <selection activeCell="O25" sqref="A22:O25"/>
    </sheetView>
  </sheetViews>
  <sheetFormatPr defaultRowHeight="12.75" x14ac:dyDescent="0.2"/>
  <cols>
    <col min="1" max="1" width="8.85546875" style="1"/>
    <col min="2" max="2" width="22" style="1" customWidth="1"/>
    <col min="3" max="3" width="37" style="1" customWidth="1"/>
    <col min="4" max="4" width="14.140625" style="1" customWidth="1"/>
    <col min="5" max="6" width="17.42578125" style="1" customWidth="1"/>
    <col min="7" max="7" width="12.140625" style="193" customWidth="1"/>
    <col min="8" max="8" width="17.85546875" style="1" customWidth="1"/>
    <col min="9" max="9" width="20.140625" style="1" customWidth="1"/>
    <col min="10" max="10" width="8.85546875" style="1"/>
    <col min="11" max="11" width="14.5703125"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79" width="8.85546875" style="1"/>
    <col min="16380" max="16384" width="8.85546875" style="1" customWidth="1"/>
  </cols>
  <sheetData>
    <row r="3" spans="2:11" ht="45" customHeight="1" x14ac:dyDescent="0.2">
      <c r="B3" s="241" t="s">
        <v>430</v>
      </c>
      <c r="C3" s="241"/>
      <c r="D3" s="241"/>
      <c r="E3" s="241"/>
      <c r="F3" s="241"/>
      <c r="G3" s="241"/>
      <c r="H3" s="241"/>
    </row>
    <row r="4" spans="2:11" s="7" customFormat="1" ht="12.75" customHeight="1" x14ac:dyDescent="0.2">
      <c r="G4" s="182"/>
    </row>
    <row r="5" spans="2:11" ht="44.45" customHeight="1" x14ac:dyDescent="0.2">
      <c r="B5" s="6" t="s">
        <v>392</v>
      </c>
      <c r="C5" s="6" t="s">
        <v>0</v>
      </c>
      <c r="D5" s="6" t="s">
        <v>354</v>
      </c>
      <c r="E5" s="6" t="s">
        <v>7</v>
      </c>
      <c r="F5" s="6" t="s">
        <v>6</v>
      </c>
      <c r="G5" s="6" t="s">
        <v>1</v>
      </c>
      <c r="H5" s="6" t="s">
        <v>423</v>
      </c>
      <c r="I5" s="6" t="s">
        <v>3</v>
      </c>
      <c r="K5" s="211" t="s">
        <v>417</v>
      </c>
    </row>
    <row r="6" spans="2:11" x14ac:dyDescent="0.2">
      <c r="B6" s="6" t="s">
        <v>393</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4"/>
      <c r="E11" s="4"/>
      <c r="F11" s="184" t="s">
        <v>355</v>
      </c>
      <c r="G11" s="194">
        <f>SUM(G6:G10)</f>
        <v>0</v>
      </c>
      <c r="H11" s="197" t="s">
        <v>361</v>
      </c>
      <c r="I11" s="16">
        <f>SUM(I6:I10)</f>
        <v>0</v>
      </c>
    </row>
    <row r="12" spans="2:11" x14ac:dyDescent="0.2">
      <c r="B12" s="4"/>
      <c r="C12" s="4"/>
      <c r="D12" s="4"/>
      <c r="E12" s="5"/>
      <c r="F12" s="185"/>
      <c r="G12" s="186"/>
      <c r="H12" s="5"/>
      <c r="I12" s="5"/>
    </row>
    <row r="13" spans="2:11" x14ac:dyDescent="0.2">
      <c r="B13" s="6" t="s">
        <v>399</v>
      </c>
      <c r="C13" s="13"/>
      <c r="D13" s="13"/>
      <c r="E13" s="14"/>
      <c r="F13" s="187"/>
      <c r="G13" s="188"/>
      <c r="H13" s="17"/>
      <c r="I13" s="15">
        <f>G13*H13</f>
        <v>0</v>
      </c>
    </row>
    <row r="14" spans="2:11" x14ac:dyDescent="0.2">
      <c r="B14" s="5"/>
      <c r="C14" s="8"/>
      <c r="D14" s="8"/>
      <c r="E14" s="8"/>
      <c r="F14" s="189"/>
      <c r="G14" s="183"/>
      <c r="H14" s="17"/>
      <c r="I14" s="15">
        <f t="shared" ref="I14:I17" si="1">G14*H14</f>
        <v>0</v>
      </c>
    </row>
    <row r="15" spans="2:11" x14ac:dyDescent="0.2">
      <c r="B15" s="5"/>
      <c r="C15" s="8"/>
      <c r="D15" s="8"/>
      <c r="E15" s="8"/>
      <c r="F15" s="189"/>
      <c r="G15" s="183"/>
      <c r="H15" s="17"/>
      <c r="I15" s="15">
        <f t="shared" si="1"/>
        <v>0</v>
      </c>
    </row>
    <row r="16" spans="2:11" x14ac:dyDescent="0.2">
      <c r="B16" s="5"/>
      <c r="C16" s="8"/>
      <c r="D16" s="8"/>
      <c r="E16" s="8"/>
      <c r="F16" s="189"/>
      <c r="G16" s="183"/>
      <c r="H16" s="17"/>
      <c r="I16" s="15">
        <f t="shared" si="1"/>
        <v>0</v>
      </c>
    </row>
    <row r="17" spans="2:9" x14ac:dyDescent="0.2">
      <c r="B17" s="5"/>
      <c r="C17" s="8"/>
      <c r="D17" s="8"/>
      <c r="E17" s="8"/>
      <c r="F17" s="189"/>
      <c r="G17" s="183"/>
      <c r="H17" s="17"/>
      <c r="I17" s="15">
        <f t="shared" si="1"/>
        <v>0</v>
      </c>
    </row>
    <row r="18" spans="2:9" x14ac:dyDescent="0.2">
      <c r="B18" s="5"/>
      <c r="C18" s="3"/>
      <c r="D18" s="3"/>
      <c r="E18" s="3"/>
      <c r="F18" s="190" t="s">
        <v>356</v>
      </c>
      <c r="G18" s="194">
        <f>SUM(G13:G17)</f>
        <v>0</v>
      </c>
      <c r="H18" s="197" t="s">
        <v>362</v>
      </c>
      <c r="I18" s="16">
        <f>SUM(I13:I17)</f>
        <v>0</v>
      </c>
    </row>
    <row r="19" spans="2:9" x14ac:dyDescent="0.2">
      <c r="B19" s="5"/>
      <c r="C19" s="5"/>
      <c r="D19" s="5"/>
      <c r="E19" s="5"/>
      <c r="F19" s="191"/>
      <c r="G19" s="192"/>
      <c r="H19" s="5"/>
      <c r="I19" s="5"/>
    </row>
    <row r="20" spans="2:9" x14ac:dyDescent="0.2">
      <c r="B20" s="6" t="s">
        <v>400</v>
      </c>
      <c r="C20" s="13"/>
      <c r="D20" s="13"/>
      <c r="E20" s="14"/>
      <c r="F20" s="187"/>
      <c r="G20" s="188"/>
      <c r="H20" s="17"/>
      <c r="I20" s="15">
        <f>G20*H20</f>
        <v>0</v>
      </c>
    </row>
    <row r="21" spans="2:9" x14ac:dyDescent="0.2">
      <c r="B21" s="5"/>
      <c r="C21" s="8"/>
      <c r="D21" s="8"/>
      <c r="E21" s="8"/>
      <c r="F21" s="189"/>
      <c r="G21" s="183"/>
      <c r="H21" s="17"/>
      <c r="I21" s="15">
        <f t="shared" ref="I21:I24" si="2">G21*H21</f>
        <v>0</v>
      </c>
    </row>
    <row r="22" spans="2:9" x14ac:dyDescent="0.2">
      <c r="B22" s="5"/>
      <c r="C22" s="8"/>
      <c r="D22" s="8"/>
      <c r="E22" s="8"/>
      <c r="F22" s="189"/>
      <c r="G22" s="183"/>
      <c r="H22" s="17"/>
      <c r="I22" s="15">
        <f t="shared" si="2"/>
        <v>0</v>
      </c>
    </row>
    <row r="23" spans="2:9" x14ac:dyDescent="0.2">
      <c r="B23" s="5"/>
      <c r="C23" s="8"/>
      <c r="D23" s="8"/>
      <c r="E23" s="8"/>
      <c r="F23" s="189"/>
      <c r="G23" s="183"/>
      <c r="H23" s="17"/>
      <c r="I23" s="15">
        <f t="shared" si="2"/>
        <v>0</v>
      </c>
    </row>
    <row r="24" spans="2:9" x14ac:dyDescent="0.2">
      <c r="B24" s="5"/>
      <c r="C24" s="8"/>
      <c r="D24" s="8"/>
      <c r="E24" s="8"/>
      <c r="F24" s="189"/>
      <c r="G24" s="183"/>
      <c r="H24" s="17"/>
      <c r="I24" s="15">
        <f t="shared" si="2"/>
        <v>0</v>
      </c>
    </row>
    <row r="25" spans="2:9" x14ac:dyDescent="0.2">
      <c r="B25" s="5"/>
      <c r="C25" s="3"/>
      <c r="D25" s="3"/>
      <c r="E25" s="3"/>
      <c r="F25" s="190" t="s">
        <v>357</v>
      </c>
      <c r="G25" s="194">
        <f>SUM(G20:G24)</f>
        <v>0</v>
      </c>
      <c r="H25" s="197" t="s">
        <v>363</v>
      </c>
      <c r="I25" s="16">
        <f>SUM(I20:I24)</f>
        <v>0</v>
      </c>
    </row>
    <row r="26" spans="2:9" x14ac:dyDescent="0.2">
      <c r="B26" s="5"/>
      <c r="C26" s="5"/>
      <c r="D26" s="5"/>
      <c r="E26" s="5"/>
      <c r="F26" s="191"/>
      <c r="G26" s="192"/>
      <c r="H26" s="5"/>
      <c r="I26" s="5"/>
    </row>
    <row r="27" spans="2:9" x14ac:dyDescent="0.2">
      <c r="B27" s="6" t="s">
        <v>401</v>
      </c>
      <c r="C27" s="13"/>
      <c r="D27" s="13"/>
      <c r="E27" s="14"/>
      <c r="F27" s="187"/>
      <c r="G27" s="188"/>
      <c r="H27" s="17"/>
      <c r="I27" s="15">
        <f>G27*H27</f>
        <v>0</v>
      </c>
    </row>
    <row r="28" spans="2:9" x14ac:dyDescent="0.2">
      <c r="B28" s="5"/>
      <c r="C28" s="8"/>
      <c r="D28" s="8"/>
      <c r="E28" s="8"/>
      <c r="F28" s="189"/>
      <c r="G28" s="183"/>
      <c r="H28" s="17"/>
      <c r="I28" s="15">
        <f t="shared" ref="I28:I31" si="3">G28*H28</f>
        <v>0</v>
      </c>
    </row>
    <row r="29" spans="2:9" x14ac:dyDescent="0.2">
      <c r="B29" s="5"/>
      <c r="C29" s="8"/>
      <c r="D29" s="8"/>
      <c r="E29" s="8"/>
      <c r="F29" s="189"/>
      <c r="G29" s="183"/>
      <c r="H29" s="17"/>
      <c r="I29" s="15">
        <f t="shared" si="3"/>
        <v>0</v>
      </c>
    </row>
    <row r="30" spans="2:9" x14ac:dyDescent="0.2">
      <c r="B30" s="5"/>
      <c r="C30" s="8"/>
      <c r="D30" s="8"/>
      <c r="E30" s="8"/>
      <c r="F30" s="189"/>
      <c r="G30" s="183"/>
      <c r="H30" s="17"/>
      <c r="I30" s="15">
        <f t="shared" si="3"/>
        <v>0</v>
      </c>
    </row>
    <row r="31" spans="2:9" x14ac:dyDescent="0.2">
      <c r="B31" s="5"/>
      <c r="C31" s="8"/>
      <c r="D31" s="8"/>
      <c r="E31" s="8"/>
      <c r="F31" s="189"/>
      <c r="G31" s="183"/>
      <c r="H31" s="17"/>
      <c r="I31" s="15">
        <f t="shared" si="3"/>
        <v>0</v>
      </c>
    </row>
    <row r="32" spans="2:9" x14ac:dyDescent="0.2">
      <c r="B32" s="5"/>
      <c r="C32" s="3"/>
      <c r="D32" s="3"/>
      <c r="E32" s="3"/>
      <c r="F32" s="190" t="s">
        <v>358</v>
      </c>
      <c r="G32" s="194">
        <f>SUM(G27:G31)</f>
        <v>0</v>
      </c>
      <c r="H32" s="197" t="s">
        <v>364</v>
      </c>
      <c r="I32" s="16">
        <f>SUM(I27:I31)</f>
        <v>0</v>
      </c>
    </row>
    <row r="33" spans="2:9" x14ac:dyDescent="0.2">
      <c r="B33" s="5"/>
      <c r="C33" s="5"/>
      <c r="D33" s="5"/>
      <c r="E33" s="5"/>
      <c r="F33" s="191"/>
      <c r="G33" s="192"/>
      <c r="H33" s="5"/>
      <c r="I33" s="5"/>
    </row>
    <row r="34" spans="2:9" x14ac:dyDescent="0.2">
      <c r="B34" s="6" t="s">
        <v>402</v>
      </c>
      <c r="C34" s="13"/>
      <c r="D34" s="13"/>
      <c r="E34" s="14"/>
      <c r="F34" s="187"/>
      <c r="G34" s="188"/>
      <c r="H34" s="17"/>
      <c r="I34" s="15">
        <f>G34*H34</f>
        <v>0</v>
      </c>
    </row>
    <row r="35" spans="2:9" x14ac:dyDescent="0.2">
      <c r="B35" s="5"/>
      <c r="C35" s="8"/>
      <c r="D35" s="8"/>
      <c r="E35" s="8"/>
      <c r="F35" s="189"/>
      <c r="G35" s="183"/>
      <c r="H35" s="17"/>
      <c r="I35" s="15">
        <f t="shared" ref="I35:I38" si="4">G35*H35</f>
        <v>0</v>
      </c>
    </row>
    <row r="36" spans="2:9" x14ac:dyDescent="0.2">
      <c r="B36" s="5"/>
      <c r="C36" s="8"/>
      <c r="D36" s="8"/>
      <c r="E36" s="8"/>
      <c r="F36" s="189"/>
      <c r="G36" s="183"/>
      <c r="H36" s="17"/>
      <c r="I36" s="15">
        <f t="shared" si="4"/>
        <v>0</v>
      </c>
    </row>
    <row r="37" spans="2:9" x14ac:dyDescent="0.2">
      <c r="B37" s="5"/>
      <c r="C37" s="8"/>
      <c r="D37" s="8"/>
      <c r="E37" s="8"/>
      <c r="F37" s="189"/>
      <c r="G37" s="183"/>
      <c r="H37" s="17"/>
      <c r="I37" s="15">
        <f t="shared" si="4"/>
        <v>0</v>
      </c>
    </row>
    <row r="38" spans="2:9" x14ac:dyDescent="0.2">
      <c r="B38" s="5"/>
      <c r="C38" s="8"/>
      <c r="D38" s="8"/>
      <c r="E38" s="8"/>
      <c r="F38" s="189"/>
      <c r="G38" s="183"/>
      <c r="H38" s="17"/>
      <c r="I38" s="15">
        <f t="shared" si="4"/>
        <v>0</v>
      </c>
    </row>
    <row r="39" spans="2:9" x14ac:dyDescent="0.2">
      <c r="B39" s="5"/>
      <c r="C39" s="3"/>
      <c r="D39" s="3"/>
      <c r="E39" s="3"/>
      <c r="F39" s="190" t="s">
        <v>359</v>
      </c>
      <c r="G39" s="194">
        <f>SUM(G34:G38)</f>
        <v>0</v>
      </c>
      <c r="H39" s="197" t="s">
        <v>365</v>
      </c>
      <c r="I39" s="16">
        <f>SUM(I34:I38)</f>
        <v>0</v>
      </c>
    </row>
    <row r="40" spans="2:9" x14ac:dyDescent="0.2">
      <c r="B40" s="5"/>
      <c r="C40" s="5"/>
      <c r="D40" s="5"/>
      <c r="E40" s="5"/>
      <c r="F40" s="191"/>
      <c r="G40" s="192"/>
      <c r="H40" s="5"/>
      <c r="I40" s="5"/>
    </row>
    <row r="42" spans="2:9" x14ac:dyDescent="0.2">
      <c r="F42" s="195"/>
      <c r="G42" s="196"/>
      <c r="H42" s="10" t="s">
        <v>368</v>
      </c>
      <c r="I42" s="19">
        <f>I11+I18+I25+I32+I39</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6213-25D7-405E-BBE1-ECA00E18EA2B}">
  <dimension ref="B3:K47"/>
  <sheetViews>
    <sheetView workbookViewId="0">
      <selection activeCell="G47" sqref="G47"/>
    </sheetView>
  </sheetViews>
  <sheetFormatPr defaultRowHeight="12.75" x14ac:dyDescent="0.2"/>
  <cols>
    <col min="1" max="1" width="8.85546875" style="1"/>
    <col min="2" max="2" width="22.85546875" style="1" customWidth="1"/>
    <col min="3" max="3" width="37" style="1" customWidth="1"/>
    <col min="4" max="4" width="17.85546875" style="1" customWidth="1"/>
    <col min="5" max="5" width="15.5703125" style="1" customWidth="1"/>
    <col min="6" max="6" width="15" style="1" customWidth="1"/>
    <col min="7" max="7" width="8.85546875" style="193" customWidth="1"/>
    <col min="8" max="8" width="17.85546875" style="1" customWidth="1"/>
    <col min="9" max="9" width="20.140625" style="1" customWidth="1"/>
    <col min="10" max="10" width="8.85546875" style="1"/>
    <col min="11" max="11" width="14"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83" width="8.85546875" style="1"/>
    <col min="16384" max="16384" width="8.85546875" style="1" customWidth="1"/>
  </cols>
  <sheetData>
    <row r="3" spans="2:11" ht="55.5" customHeight="1" x14ac:dyDescent="0.2">
      <c r="B3" s="240" t="s">
        <v>424</v>
      </c>
      <c r="C3" s="240"/>
      <c r="D3" s="240"/>
      <c r="E3" s="240"/>
      <c r="F3" s="240"/>
      <c r="G3" s="240"/>
      <c r="H3" s="240"/>
    </row>
    <row r="4" spans="2:11" s="7" customFormat="1" ht="12.75" customHeight="1" x14ac:dyDescent="0.2">
      <c r="G4" s="182"/>
    </row>
    <row r="5" spans="2:11" ht="44.45" customHeight="1" x14ac:dyDescent="0.2">
      <c r="B5" s="6" t="s">
        <v>392</v>
      </c>
      <c r="C5" s="6" t="s">
        <v>0</v>
      </c>
      <c r="D5" s="6" t="s">
        <v>354</v>
      </c>
      <c r="E5" s="6" t="s">
        <v>7</v>
      </c>
      <c r="F5" s="6" t="s">
        <v>6</v>
      </c>
      <c r="G5" s="204" t="s">
        <v>1</v>
      </c>
      <c r="H5" s="6" t="s">
        <v>423</v>
      </c>
      <c r="I5" s="6" t="s">
        <v>3</v>
      </c>
      <c r="K5" s="211" t="s">
        <v>417</v>
      </c>
    </row>
    <row r="6" spans="2:11" x14ac:dyDescent="0.2">
      <c r="B6" s="6" t="s">
        <v>394</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203"/>
      <c r="E11" s="201"/>
      <c r="F11" s="184" t="s">
        <v>375</v>
      </c>
      <c r="G11" s="194">
        <f>SUM(G6:G10)</f>
        <v>0</v>
      </c>
      <c r="H11" s="197" t="s">
        <v>361</v>
      </c>
      <c r="I11" s="16">
        <f>SUM(I6:I10)</f>
        <v>0</v>
      </c>
    </row>
    <row r="12" spans="2:11" x14ac:dyDescent="0.2">
      <c r="B12" s="4"/>
      <c r="C12" s="4"/>
      <c r="D12" s="201"/>
      <c r="E12" s="2"/>
      <c r="F12" s="198" t="s">
        <v>377</v>
      </c>
      <c r="G12" s="205">
        <v>2325</v>
      </c>
      <c r="H12" s="5"/>
      <c r="I12" s="5"/>
    </row>
    <row r="13" spans="2:11" x14ac:dyDescent="0.2">
      <c r="B13" s="6" t="s">
        <v>395</v>
      </c>
      <c r="C13" s="4"/>
      <c r="D13" s="4"/>
      <c r="E13" s="4"/>
      <c r="F13" s="4"/>
      <c r="G13" s="186"/>
      <c r="H13" s="5"/>
      <c r="I13" s="4"/>
    </row>
    <row r="14" spans="2:11" x14ac:dyDescent="0.2">
      <c r="B14" s="5"/>
      <c r="C14" s="13"/>
      <c r="D14" s="13"/>
      <c r="E14" s="13"/>
      <c r="F14" s="13"/>
      <c r="G14" s="188"/>
      <c r="H14" s="17"/>
      <c r="I14" s="15">
        <f>G14*H14</f>
        <v>0</v>
      </c>
    </row>
    <row r="15" spans="2:11" x14ac:dyDescent="0.2">
      <c r="B15" s="5"/>
      <c r="C15" s="8"/>
      <c r="D15" s="8"/>
      <c r="E15" s="8"/>
      <c r="F15" s="8"/>
      <c r="G15" s="183"/>
      <c r="H15" s="17"/>
      <c r="I15" s="15">
        <f t="shared" ref="I15:I18" si="1">G15*H15</f>
        <v>0</v>
      </c>
    </row>
    <row r="16" spans="2:11" x14ac:dyDescent="0.2">
      <c r="B16" s="5"/>
      <c r="C16" s="8"/>
      <c r="D16" s="8"/>
      <c r="E16" s="8"/>
      <c r="F16" s="8"/>
      <c r="G16" s="183"/>
      <c r="H16" s="17"/>
      <c r="I16" s="15">
        <f t="shared" si="1"/>
        <v>0</v>
      </c>
    </row>
    <row r="17" spans="2:9" x14ac:dyDescent="0.2">
      <c r="B17" s="5"/>
      <c r="C17" s="8"/>
      <c r="D17" s="8"/>
      <c r="E17" s="8"/>
      <c r="F17" s="8"/>
      <c r="G17" s="183"/>
      <c r="H17" s="17"/>
      <c r="I17" s="15">
        <f t="shared" si="1"/>
        <v>0</v>
      </c>
    </row>
    <row r="18" spans="2:9" x14ac:dyDescent="0.2">
      <c r="B18" s="5"/>
      <c r="C18" s="8"/>
      <c r="D18" s="8"/>
      <c r="E18" s="8"/>
      <c r="F18" s="8"/>
      <c r="G18" s="183"/>
      <c r="H18" s="17"/>
      <c r="I18" s="15">
        <f t="shared" si="1"/>
        <v>0</v>
      </c>
    </row>
    <row r="19" spans="2:9" x14ac:dyDescent="0.2">
      <c r="B19" s="5"/>
      <c r="C19" s="3"/>
      <c r="D19" s="203"/>
      <c r="E19" s="12"/>
      <c r="F19" s="184" t="s">
        <v>379</v>
      </c>
      <c r="G19" s="194">
        <f>SUM(G14:G18)</f>
        <v>0</v>
      </c>
      <c r="H19" s="197" t="s">
        <v>362</v>
      </c>
      <c r="I19" s="16">
        <f>SUM(I14:I18)</f>
        <v>0</v>
      </c>
    </row>
    <row r="20" spans="2:9" x14ac:dyDescent="0.2">
      <c r="B20" s="6" t="s">
        <v>396</v>
      </c>
      <c r="C20" s="4"/>
      <c r="D20" s="201"/>
      <c r="E20" s="2"/>
      <c r="F20" s="10" t="s">
        <v>376</v>
      </c>
      <c r="G20" s="206">
        <v>2790</v>
      </c>
      <c r="H20" s="5"/>
      <c r="I20" s="5"/>
    </row>
    <row r="21" spans="2:9" x14ac:dyDescent="0.2">
      <c r="B21" s="5"/>
      <c r="C21" s="5"/>
      <c r="D21" s="4"/>
      <c r="E21" s="4"/>
      <c r="F21" s="4"/>
      <c r="G21" s="192"/>
      <c r="H21" s="5"/>
      <c r="I21" s="4"/>
    </row>
    <row r="22" spans="2:9" x14ac:dyDescent="0.2">
      <c r="B22" s="5"/>
      <c r="C22" s="13"/>
      <c r="D22" s="13"/>
      <c r="E22" s="13"/>
      <c r="F22" s="13"/>
      <c r="G22" s="188"/>
      <c r="H22" s="17"/>
      <c r="I22" s="15">
        <f>G22*H22</f>
        <v>0</v>
      </c>
    </row>
    <row r="23" spans="2:9" x14ac:dyDescent="0.2">
      <c r="B23" s="5"/>
      <c r="C23" s="8"/>
      <c r="D23" s="8"/>
      <c r="E23" s="8"/>
      <c r="F23" s="8"/>
      <c r="G23" s="183"/>
      <c r="H23" s="17"/>
      <c r="I23" s="15">
        <f t="shared" ref="I23:I26" si="2">G23*H23</f>
        <v>0</v>
      </c>
    </row>
    <row r="24" spans="2:9" x14ac:dyDescent="0.2">
      <c r="B24" s="5"/>
      <c r="C24" s="8"/>
      <c r="D24" s="8"/>
      <c r="E24" s="8"/>
      <c r="F24" s="8"/>
      <c r="G24" s="183"/>
      <c r="H24" s="17"/>
      <c r="I24" s="15">
        <f t="shared" si="2"/>
        <v>0</v>
      </c>
    </row>
    <row r="25" spans="2:9" x14ac:dyDescent="0.2">
      <c r="B25" s="5"/>
      <c r="C25" s="8"/>
      <c r="D25" s="8"/>
      <c r="E25" s="8"/>
      <c r="F25" s="8"/>
      <c r="G25" s="183"/>
      <c r="H25" s="17"/>
      <c r="I25" s="15">
        <f t="shared" si="2"/>
        <v>0</v>
      </c>
    </row>
    <row r="26" spans="2:9" x14ac:dyDescent="0.2">
      <c r="B26" s="5"/>
      <c r="C26" s="8"/>
      <c r="D26" s="8"/>
      <c r="E26" s="8"/>
      <c r="F26" s="8"/>
      <c r="G26" s="183"/>
      <c r="H26" s="17"/>
      <c r="I26" s="15">
        <f t="shared" si="2"/>
        <v>0</v>
      </c>
    </row>
    <row r="27" spans="2:9" x14ac:dyDescent="0.2">
      <c r="B27" s="6" t="s">
        <v>397</v>
      </c>
      <c r="C27" s="3"/>
      <c r="D27" s="203"/>
      <c r="E27" s="12"/>
      <c r="F27" s="202" t="s">
        <v>380</v>
      </c>
      <c r="G27" s="194">
        <f>SUM(G22:G26)</f>
        <v>0</v>
      </c>
      <c r="H27" s="197" t="s">
        <v>363</v>
      </c>
      <c r="I27" s="16">
        <f>SUM(I22:I26)</f>
        <v>0</v>
      </c>
    </row>
    <row r="28" spans="2:9" x14ac:dyDescent="0.2">
      <c r="B28" s="5"/>
      <c r="C28" s="4"/>
      <c r="D28" s="201"/>
      <c r="E28" s="2"/>
      <c r="F28" s="10" t="s">
        <v>378</v>
      </c>
      <c r="G28" s="206">
        <v>2790</v>
      </c>
      <c r="H28" s="5"/>
      <c r="I28" s="5"/>
    </row>
    <row r="29" spans="2:9" x14ac:dyDescent="0.2">
      <c r="B29" s="5"/>
      <c r="C29" s="5"/>
      <c r="D29" s="4"/>
      <c r="E29" s="4"/>
      <c r="F29" s="4"/>
      <c r="G29" s="192"/>
      <c r="H29" s="5"/>
      <c r="I29" s="4"/>
    </row>
    <row r="30" spans="2:9" x14ac:dyDescent="0.2">
      <c r="B30" s="5"/>
      <c r="C30" s="13"/>
      <c r="D30" s="13"/>
      <c r="E30" s="13"/>
      <c r="F30" s="13"/>
      <c r="G30" s="188"/>
      <c r="H30" s="17"/>
      <c r="I30" s="15">
        <f>G30*H30</f>
        <v>0</v>
      </c>
    </row>
    <row r="31" spans="2:9" x14ac:dyDescent="0.2">
      <c r="B31" s="5"/>
      <c r="C31" s="8"/>
      <c r="D31" s="8"/>
      <c r="E31" s="8"/>
      <c r="F31" s="8"/>
      <c r="G31" s="183"/>
      <c r="H31" s="17"/>
      <c r="I31" s="15">
        <f t="shared" ref="I31:I34" si="3">G31*H31</f>
        <v>0</v>
      </c>
    </row>
    <row r="32" spans="2:9" x14ac:dyDescent="0.2">
      <c r="B32" s="5"/>
      <c r="C32" s="8"/>
      <c r="D32" s="8"/>
      <c r="E32" s="8"/>
      <c r="F32" s="8"/>
      <c r="G32" s="183"/>
      <c r="H32" s="17"/>
      <c r="I32" s="15">
        <f t="shared" si="3"/>
        <v>0</v>
      </c>
    </row>
    <row r="33" spans="2:9" x14ac:dyDescent="0.2">
      <c r="B33" s="5"/>
      <c r="C33" s="8"/>
      <c r="D33" s="8"/>
      <c r="E33" s="8"/>
      <c r="F33" s="8"/>
      <c r="G33" s="183"/>
      <c r="H33" s="17"/>
      <c r="I33" s="15">
        <f t="shared" si="3"/>
        <v>0</v>
      </c>
    </row>
    <row r="34" spans="2:9" x14ac:dyDescent="0.2">
      <c r="B34" s="6" t="s">
        <v>398</v>
      </c>
      <c r="C34" s="8"/>
      <c r="D34" s="8"/>
      <c r="E34" s="8"/>
      <c r="F34" s="8"/>
      <c r="G34" s="183"/>
      <c r="H34" s="17"/>
      <c r="I34" s="15">
        <f t="shared" si="3"/>
        <v>0</v>
      </c>
    </row>
    <row r="35" spans="2:9" x14ac:dyDescent="0.2">
      <c r="B35" s="5"/>
      <c r="C35" s="3"/>
      <c r="D35" s="203"/>
      <c r="E35" s="12"/>
      <c r="F35" s="202" t="s">
        <v>381</v>
      </c>
      <c r="G35" s="194">
        <f>SUM(G30:G34)</f>
        <v>0</v>
      </c>
      <c r="H35" s="197" t="s">
        <v>364</v>
      </c>
      <c r="I35" s="16">
        <f>SUM(I30:I34)</f>
        <v>0</v>
      </c>
    </row>
    <row r="36" spans="2:9" x14ac:dyDescent="0.2">
      <c r="B36" s="5"/>
      <c r="C36" s="4"/>
      <c r="D36" s="201"/>
      <c r="E36" s="2"/>
      <c r="F36" s="10" t="s">
        <v>382</v>
      </c>
      <c r="G36" s="206">
        <v>2790</v>
      </c>
      <c r="H36" s="5"/>
      <c r="I36" s="5"/>
    </row>
    <row r="37" spans="2:9" x14ac:dyDescent="0.2">
      <c r="B37" s="5"/>
      <c r="C37" s="5"/>
      <c r="D37" s="4"/>
      <c r="E37" s="4"/>
      <c r="F37" s="4"/>
      <c r="G37" s="192"/>
      <c r="H37" s="5"/>
      <c r="I37" s="4"/>
    </row>
    <row r="38" spans="2:9" x14ac:dyDescent="0.2">
      <c r="B38" s="5"/>
      <c r="C38" s="13"/>
      <c r="D38" s="13"/>
      <c r="E38" s="13"/>
      <c r="F38" s="13"/>
      <c r="G38" s="188"/>
      <c r="H38" s="17"/>
      <c r="I38" s="15">
        <f>G38*H38</f>
        <v>0</v>
      </c>
    </row>
    <row r="39" spans="2:9" x14ac:dyDescent="0.2">
      <c r="B39" s="5"/>
      <c r="C39" s="8"/>
      <c r="D39" s="8"/>
      <c r="E39" s="8"/>
      <c r="F39" s="8"/>
      <c r="G39" s="183"/>
      <c r="H39" s="17"/>
      <c r="I39" s="15">
        <f t="shared" ref="I39:I42" si="4">G39*H39</f>
        <v>0</v>
      </c>
    </row>
    <row r="40" spans="2:9" x14ac:dyDescent="0.2">
      <c r="B40" s="5"/>
      <c r="C40" s="8"/>
      <c r="D40" s="8"/>
      <c r="E40" s="8"/>
      <c r="F40" s="8"/>
      <c r="G40" s="183"/>
      <c r="H40" s="17"/>
      <c r="I40" s="15">
        <f t="shared" si="4"/>
        <v>0</v>
      </c>
    </row>
    <row r="41" spans="2:9" x14ac:dyDescent="0.2">
      <c r="B41" s="5"/>
      <c r="C41" s="8"/>
      <c r="D41" s="8"/>
      <c r="E41" s="8"/>
      <c r="F41" s="8"/>
      <c r="G41" s="183"/>
      <c r="H41" s="17"/>
      <c r="I41" s="15">
        <f t="shared" si="4"/>
        <v>0</v>
      </c>
    </row>
    <row r="42" spans="2:9" x14ac:dyDescent="0.2">
      <c r="B42" s="5"/>
      <c r="C42" s="8"/>
      <c r="D42" s="8"/>
      <c r="E42" s="8"/>
      <c r="F42" s="8"/>
      <c r="G42" s="183"/>
      <c r="H42" s="17"/>
      <c r="I42" s="15">
        <f t="shared" si="4"/>
        <v>0</v>
      </c>
    </row>
    <row r="43" spans="2:9" x14ac:dyDescent="0.2">
      <c r="B43" s="5"/>
      <c r="C43" s="3"/>
      <c r="D43" s="203"/>
      <c r="E43" s="12"/>
      <c r="F43" s="202" t="s">
        <v>383</v>
      </c>
      <c r="G43" s="194">
        <f>SUM(G38:G42)</f>
        <v>0</v>
      </c>
      <c r="H43" s="197" t="s">
        <v>365</v>
      </c>
      <c r="I43" s="16">
        <f>SUM(I38:I42)</f>
        <v>0</v>
      </c>
    </row>
    <row r="44" spans="2:9" x14ac:dyDescent="0.2">
      <c r="B44" s="3"/>
      <c r="C44" s="4"/>
      <c r="D44" s="201"/>
      <c r="E44" s="2"/>
      <c r="F44" s="10" t="s">
        <v>384</v>
      </c>
      <c r="G44" s="206">
        <v>2790</v>
      </c>
      <c r="H44" s="5"/>
      <c r="I44" s="5"/>
    </row>
    <row r="45" spans="2:9" x14ac:dyDescent="0.2">
      <c r="B45" s="5"/>
      <c r="C45" s="5"/>
      <c r="D45" s="5"/>
      <c r="E45" s="5"/>
      <c r="F45" s="5"/>
      <c r="G45" s="192"/>
      <c r="H45" s="5"/>
      <c r="I45" s="5"/>
    </row>
    <row r="47" spans="2:9" x14ac:dyDescent="0.2">
      <c r="F47" s="195"/>
      <c r="H47" s="10" t="s">
        <v>369</v>
      </c>
      <c r="I47" s="19">
        <f>I11+I19+I27+I35+I43</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F600-7DC4-425A-A0B9-7B8538680E75}">
  <dimension ref="B3:M47"/>
  <sheetViews>
    <sheetView topLeftCell="B10" workbookViewId="0">
      <selection activeCell="M44" sqref="M44"/>
    </sheetView>
  </sheetViews>
  <sheetFormatPr defaultRowHeight="12.75" x14ac:dyDescent="0.2"/>
  <cols>
    <col min="1" max="1" width="8.85546875" style="1"/>
    <col min="2" max="2" width="16.140625" style="1" customWidth="1"/>
    <col min="3" max="3" width="35.5703125" style="1" customWidth="1"/>
    <col min="4" max="4" width="17.85546875" style="1" customWidth="1"/>
    <col min="5" max="5" width="15.5703125" style="1" customWidth="1"/>
    <col min="6" max="6" width="15" style="1" customWidth="1"/>
    <col min="7" max="7" width="8.85546875" style="1" customWidth="1"/>
    <col min="8" max="8" width="15.85546875" style="1" customWidth="1"/>
    <col min="9" max="9" width="20.140625" style="1" customWidth="1"/>
    <col min="10" max="10" width="8.85546875" style="1"/>
    <col min="11" max="11" width="15.85546875" style="1" customWidth="1"/>
    <col min="12" max="255" width="8.8554687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8.8554687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8.8554687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8.8554687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8.8554687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8.8554687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8.8554687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8.8554687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8.8554687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8.8554687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8.8554687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8.8554687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8.8554687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8.8554687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8.8554687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8.8554687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8.8554687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8.8554687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8.8554687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8.8554687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8.8554687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8.8554687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8.8554687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8.8554687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8.8554687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8.8554687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8.8554687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8.8554687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8.8554687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8.8554687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8.8554687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8.8554687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8.8554687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8.8554687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8.8554687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8.8554687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8.8554687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8.8554687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8.8554687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8.8554687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8.8554687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8.8554687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8.8554687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8.8554687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8.8554687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8.8554687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8.8554687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8.8554687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8.8554687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8.8554687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8.8554687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8.8554687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8.8554687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8.8554687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8.8554687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8.8554687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8.8554687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8.8554687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8.8554687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8.8554687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8.8554687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8.8554687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8.8554687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83" width="8.85546875" style="1"/>
    <col min="16384" max="16384" width="8.85546875" style="1" customWidth="1"/>
  </cols>
  <sheetData>
    <row r="3" spans="2:11" ht="56.25" customHeight="1" x14ac:dyDescent="0.2">
      <c r="B3" s="240" t="s">
        <v>425</v>
      </c>
      <c r="C3" s="240"/>
      <c r="D3" s="240"/>
      <c r="E3" s="240"/>
      <c r="F3" s="240"/>
      <c r="G3" s="240"/>
      <c r="H3" s="240"/>
    </row>
    <row r="4" spans="2:11" s="7" customFormat="1" ht="12.75" customHeight="1" x14ac:dyDescent="0.2"/>
    <row r="5" spans="2:11" ht="44.45" customHeight="1" x14ac:dyDescent="0.2">
      <c r="B5" s="6" t="s">
        <v>8</v>
      </c>
      <c r="C5" s="6" t="s">
        <v>0</v>
      </c>
      <c r="D5" s="6" t="s">
        <v>354</v>
      </c>
      <c r="E5" s="6" t="s">
        <v>7</v>
      </c>
      <c r="F5" s="6" t="s">
        <v>6</v>
      </c>
      <c r="G5" s="6" t="s">
        <v>1</v>
      </c>
      <c r="H5" s="6" t="s">
        <v>423</v>
      </c>
      <c r="I5" s="6" t="s">
        <v>3</v>
      </c>
      <c r="K5" s="211" t="s">
        <v>417</v>
      </c>
    </row>
    <row r="6" spans="2:11" x14ac:dyDescent="0.2">
      <c r="B6" s="6" t="s">
        <v>385</v>
      </c>
      <c r="C6" s="8"/>
      <c r="D6" s="8"/>
      <c r="E6" s="8"/>
      <c r="F6" s="8"/>
      <c r="G6" s="183"/>
      <c r="H6" s="207"/>
      <c r="I6" s="15">
        <f>G6*H6</f>
        <v>0</v>
      </c>
      <c r="K6" s="210" t="s">
        <v>421</v>
      </c>
    </row>
    <row r="7" spans="2:11" x14ac:dyDescent="0.2">
      <c r="B7" s="5"/>
      <c r="C7" s="8"/>
      <c r="D7" s="8"/>
      <c r="E7" s="8"/>
      <c r="F7" s="8"/>
      <c r="G7" s="183"/>
      <c r="H7" s="207"/>
      <c r="I7" s="15">
        <f t="shared" ref="I7:I10" si="0">G7*H7</f>
        <v>0</v>
      </c>
      <c r="K7" s="195" t="s">
        <v>421</v>
      </c>
    </row>
    <row r="8" spans="2:11" x14ac:dyDescent="0.2">
      <c r="B8" s="5"/>
      <c r="C8" s="8"/>
      <c r="D8" s="8"/>
      <c r="E8" s="8"/>
      <c r="F8" s="8"/>
      <c r="G8" s="183"/>
      <c r="H8" s="207"/>
      <c r="I8" s="15">
        <f t="shared" si="0"/>
        <v>0</v>
      </c>
      <c r="K8" s="11" t="s">
        <v>422</v>
      </c>
    </row>
    <row r="9" spans="2:11" x14ac:dyDescent="0.2">
      <c r="B9" s="5"/>
      <c r="C9" s="8"/>
      <c r="D9" s="8"/>
      <c r="E9" s="8"/>
      <c r="F9" s="8"/>
      <c r="G9" s="183"/>
      <c r="H9" s="207"/>
      <c r="I9" s="15">
        <f t="shared" si="0"/>
        <v>0</v>
      </c>
    </row>
    <row r="10" spans="2:11" x14ac:dyDescent="0.2">
      <c r="B10" s="5"/>
      <c r="C10" s="8"/>
      <c r="D10" s="8"/>
      <c r="E10" s="8"/>
      <c r="F10" s="8"/>
      <c r="G10" s="183"/>
      <c r="H10" s="207"/>
      <c r="I10" s="15">
        <f t="shared" si="0"/>
        <v>0</v>
      </c>
    </row>
    <row r="11" spans="2:11" x14ac:dyDescent="0.2">
      <c r="B11" s="3"/>
      <c r="C11" s="4"/>
      <c r="D11" s="203"/>
      <c r="E11" s="201"/>
      <c r="F11" s="184" t="s">
        <v>375</v>
      </c>
      <c r="G11" s="194">
        <f>SUM(G6:G10)</f>
        <v>0</v>
      </c>
      <c r="H11" s="197" t="s">
        <v>361</v>
      </c>
      <c r="I11" s="16">
        <f>SUM(I6:I10)</f>
        <v>0</v>
      </c>
    </row>
    <row r="12" spans="2:11" x14ac:dyDescent="0.2">
      <c r="B12" s="4"/>
      <c r="C12" s="4"/>
      <c r="D12" s="201"/>
      <c r="E12" s="2"/>
      <c r="F12" s="198" t="s">
        <v>377</v>
      </c>
      <c r="G12" s="206">
        <v>12865</v>
      </c>
      <c r="H12" s="5"/>
      <c r="I12" s="5"/>
    </row>
    <row r="13" spans="2:11" x14ac:dyDescent="0.2">
      <c r="B13" s="4"/>
      <c r="C13" s="4"/>
      <c r="D13" s="4"/>
      <c r="E13" s="4"/>
      <c r="F13" s="4"/>
      <c r="G13" s="208"/>
      <c r="H13" s="5"/>
      <c r="I13" s="5"/>
    </row>
    <row r="14" spans="2:11" x14ac:dyDescent="0.2">
      <c r="B14" s="6" t="s">
        <v>386</v>
      </c>
      <c r="C14" s="13"/>
      <c r="D14" s="13"/>
      <c r="E14" s="13"/>
      <c r="F14" s="13"/>
      <c r="G14" s="188"/>
      <c r="H14" s="207"/>
      <c r="I14" s="15">
        <f>G14*H14</f>
        <v>0</v>
      </c>
    </row>
    <row r="15" spans="2:11" x14ac:dyDescent="0.2">
      <c r="B15" s="5"/>
      <c r="C15" s="8"/>
      <c r="D15" s="8"/>
      <c r="E15" s="8"/>
      <c r="F15" s="8"/>
      <c r="G15" s="183"/>
      <c r="H15" s="207"/>
      <c r="I15" s="15">
        <f t="shared" ref="I15:I18" si="1">G15*H15</f>
        <v>0</v>
      </c>
    </row>
    <row r="16" spans="2:11" x14ac:dyDescent="0.2">
      <c r="B16" s="5"/>
      <c r="C16" s="8"/>
      <c r="D16" s="8"/>
      <c r="E16" s="8"/>
      <c r="F16" s="8"/>
      <c r="G16" s="183"/>
      <c r="H16" s="207"/>
      <c r="I16" s="15">
        <f t="shared" si="1"/>
        <v>0</v>
      </c>
    </row>
    <row r="17" spans="2:9" x14ac:dyDescent="0.2">
      <c r="B17" s="5"/>
      <c r="C17" s="8"/>
      <c r="D17" s="8"/>
      <c r="E17" s="8"/>
      <c r="F17" s="8"/>
      <c r="G17" s="183"/>
      <c r="H17" s="207"/>
      <c r="I17" s="15">
        <f t="shared" si="1"/>
        <v>0</v>
      </c>
    </row>
    <row r="18" spans="2:9" x14ac:dyDescent="0.2">
      <c r="B18" s="5"/>
      <c r="C18" s="8"/>
      <c r="D18" s="8"/>
      <c r="E18" s="8"/>
      <c r="F18" s="8"/>
      <c r="G18" s="183"/>
      <c r="H18" s="207"/>
      <c r="I18" s="15">
        <f t="shared" si="1"/>
        <v>0</v>
      </c>
    </row>
    <row r="19" spans="2:9" x14ac:dyDescent="0.2">
      <c r="B19" s="5"/>
      <c r="C19" s="3"/>
      <c r="D19" s="203"/>
      <c r="E19" s="12"/>
      <c r="F19" s="184" t="s">
        <v>379</v>
      </c>
      <c r="G19" s="194">
        <f>SUM(G14:G18)</f>
        <v>0</v>
      </c>
      <c r="H19" s="197" t="s">
        <v>362</v>
      </c>
      <c r="I19" s="16">
        <f>SUM(I14:I18)</f>
        <v>0</v>
      </c>
    </row>
    <row r="20" spans="2:9" x14ac:dyDescent="0.2">
      <c r="B20" s="3"/>
      <c r="C20" s="4"/>
      <c r="D20" s="201"/>
      <c r="E20" s="2"/>
      <c r="F20" s="10" t="s">
        <v>376</v>
      </c>
      <c r="G20" s="206">
        <v>15438</v>
      </c>
      <c r="H20" s="5"/>
      <c r="I20" s="5"/>
    </row>
    <row r="21" spans="2:9" x14ac:dyDescent="0.2">
      <c r="B21" s="5"/>
      <c r="C21" s="5"/>
      <c r="D21" s="4"/>
      <c r="E21" s="4"/>
      <c r="F21" s="4"/>
      <c r="G21" s="208"/>
      <c r="H21" s="5"/>
      <c r="I21" s="5"/>
    </row>
    <row r="22" spans="2:9" x14ac:dyDescent="0.2">
      <c r="B22" s="6" t="s">
        <v>387</v>
      </c>
      <c r="C22" s="13"/>
      <c r="D22" s="13"/>
      <c r="E22" s="13"/>
      <c r="F22" s="13"/>
      <c r="G22" s="188"/>
      <c r="H22" s="207"/>
      <c r="I22" s="15">
        <f>G22*H22</f>
        <v>0</v>
      </c>
    </row>
    <row r="23" spans="2:9" x14ac:dyDescent="0.2">
      <c r="B23" s="5"/>
      <c r="C23" s="8"/>
      <c r="D23" s="8"/>
      <c r="E23" s="8"/>
      <c r="F23" s="8"/>
      <c r="G23" s="183"/>
      <c r="H23" s="207"/>
      <c r="I23" s="15">
        <f t="shared" ref="I23:I26" si="2">G23*H23</f>
        <v>0</v>
      </c>
    </row>
    <row r="24" spans="2:9" x14ac:dyDescent="0.2">
      <c r="B24" s="5"/>
      <c r="C24" s="8"/>
      <c r="D24" s="8"/>
      <c r="E24" s="8"/>
      <c r="F24" s="8"/>
      <c r="G24" s="183"/>
      <c r="H24" s="207"/>
      <c r="I24" s="15">
        <f t="shared" si="2"/>
        <v>0</v>
      </c>
    </row>
    <row r="25" spans="2:9" x14ac:dyDescent="0.2">
      <c r="B25" s="5"/>
      <c r="C25" s="8"/>
      <c r="D25" s="8"/>
      <c r="E25" s="8"/>
      <c r="F25" s="8"/>
      <c r="G25" s="183"/>
      <c r="H25" s="207"/>
      <c r="I25" s="15">
        <f t="shared" si="2"/>
        <v>0</v>
      </c>
    </row>
    <row r="26" spans="2:9" x14ac:dyDescent="0.2">
      <c r="B26" s="5"/>
      <c r="C26" s="8"/>
      <c r="D26" s="8"/>
      <c r="E26" s="8"/>
      <c r="F26" s="8"/>
      <c r="G26" s="183"/>
      <c r="H26" s="207"/>
      <c r="I26" s="15">
        <f t="shared" si="2"/>
        <v>0</v>
      </c>
    </row>
    <row r="27" spans="2:9" x14ac:dyDescent="0.2">
      <c r="B27" s="5"/>
      <c r="C27" s="3"/>
      <c r="D27" s="203"/>
      <c r="E27" s="12"/>
      <c r="F27" s="202" t="s">
        <v>380</v>
      </c>
      <c r="G27" s="194">
        <f>SUM(G22:G26)</f>
        <v>0</v>
      </c>
      <c r="H27" s="197" t="s">
        <v>363</v>
      </c>
      <c r="I27" s="16">
        <f>SUM(I22:I26)</f>
        <v>0</v>
      </c>
    </row>
    <row r="28" spans="2:9" x14ac:dyDescent="0.2">
      <c r="B28" s="3"/>
      <c r="C28" s="4"/>
      <c r="D28" s="201"/>
      <c r="E28" s="2"/>
      <c r="F28" s="10" t="s">
        <v>378</v>
      </c>
      <c r="G28" s="206">
        <v>15438</v>
      </c>
      <c r="H28" s="5"/>
      <c r="I28" s="5"/>
    </row>
    <row r="29" spans="2:9" x14ac:dyDescent="0.2">
      <c r="B29" s="5"/>
      <c r="C29" s="5"/>
      <c r="D29" s="4"/>
      <c r="E29" s="4"/>
      <c r="F29" s="4"/>
      <c r="G29" s="208"/>
      <c r="H29" s="5"/>
      <c r="I29" s="5"/>
    </row>
    <row r="30" spans="2:9" x14ac:dyDescent="0.2">
      <c r="B30" s="6" t="s">
        <v>388</v>
      </c>
      <c r="C30" s="13"/>
      <c r="D30" s="13"/>
      <c r="E30" s="13"/>
      <c r="F30" s="13"/>
      <c r="G30" s="188"/>
      <c r="H30" s="207"/>
      <c r="I30" s="15">
        <f>G30*H30</f>
        <v>0</v>
      </c>
    </row>
    <row r="31" spans="2:9" x14ac:dyDescent="0.2">
      <c r="B31" s="5"/>
      <c r="C31" s="8"/>
      <c r="D31" s="8"/>
      <c r="E31" s="8"/>
      <c r="F31" s="8"/>
      <c r="G31" s="183"/>
      <c r="H31" s="207"/>
      <c r="I31" s="15">
        <f t="shared" ref="I31:I34" si="3">G31*H31</f>
        <v>0</v>
      </c>
    </row>
    <row r="32" spans="2:9" x14ac:dyDescent="0.2">
      <c r="B32" s="5"/>
      <c r="C32" s="8"/>
      <c r="D32" s="8"/>
      <c r="E32" s="8"/>
      <c r="F32" s="8"/>
      <c r="G32" s="183"/>
      <c r="H32" s="207"/>
      <c r="I32" s="15">
        <f t="shared" si="3"/>
        <v>0</v>
      </c>
    </row>
    <row r="33" spans="2:13" x14ac:dyDescent="0.2">
      <c r="B33" s="5"/>
      <c r="C33" s="8"/>
      <c r="D33" s="8"/>
      <c r="E33" s="8"/>
      <c r="F33" s="8"/>
      <c r="G33" s="183"/>
      <c r="H33" s="207"/>
      <c r="I33" s="15">
        <f t="shared" si="3"/>
        <v>0</v>
      </c>
    </row>
    <row r="34" spans="2:13" x14ac:dyDescent="0.2">
      <c r="B34" s="5"/>
      <c r="C34" s="8"/>
      <c r="D34" s="8"/>
      <c r="E34" s="8"/>
      <c r="F34" s="8"/>
      <c r="G34" s="183"/>
      <c r="H34" s="207"/>
      <c r="I34" s="15">
        <f t="shared" si="3"/>
        <v>0</v>
      </c>
    </row>
    <row r="35" spans="2:13" x14ac:dyDescent="0.2">
      <c r="B35" s="5"/>
      <c r="C35" s="3"/>
      <c r="D35" s="203"/>
      <c r="E35" s="12"/>
      <c r="F35" s="202" t="s">
        <v>381</v>
      </c>
      <c r="G35" s="194">
        <f>SUM(G30:G34)</f>
        <v>0</v>
      </c>
      <c r="H35" s="197" t="s">
        <v>364</v>
      </c>
      <c r="I35" s="16">
        <f>SUM(I30:I34)</f>
        <v>0</v>
      </c>
    </row>
    <row r="36" spans="2:13" x14ac:dyDescent="0.2">
      <c r="B36" s="3"/>
      <c r="C36" s="4"/>
      <c r="D36" s="201"/>
      <c r="E36" s="2"/>
      <c r="F36" s="10" t="s">
        <v>382</v>
      </c>
      <c r="G36" s="206">
        <v>15438</v>
      </c>
      <c r="H36" s="5"/>
      <c r="I36" s="5"/>
    </row>
    <row r="37" spans="2:13" x14ac:dyDescent="0.2">
      <c r="B37" s="5"/>
      <c r="C37" s="5"/>
      <c r="D37" s="4"/>
      <c r="E37" s="4"/>
      <c r="F37" s="4"/>
      <c r="G37" s="208"/>
      <c r="H37" s="5"/>
      <c r="I37" s="5"/>
    </row>
    <row r="38" spans="2:13" x14ac:dyDescent="0.2">
      <c r="B38" s="6" t="s">
        <v>389</v>
      </c>
      <c r="C38" s="13"/>
      <c r="D38" s="13"/>
      <c r="E38" s="13"/>
      <c r="F38" s="13"/>
      <c r="G38" s="188"/>
      <c r="H38" s="207"/>
      <c r="I38" s="15">
        <f>G38*H38</f>
        <v>0</v>
      </c>
    </row>
    <row r="39" spans="2:13" x14ac:dyDescent="0.2">
      <c r="B39" s="5"/>
      <c r="C39" s="8"/>
      <c r="D39" s="8"/>
      <c r="E39" s="8"/>
      <c r="F39" s="8"/>
      <c r="G39" s="183"/>
      <c r="H39" s="207"/>
      <c r="I39" s="15">
        <f t="shared" ref="I39:I42" si="4">G39*H39</f>
        <v>0</v>
      </c>
    </row>
    <row r="40" spans="2:13" x14ac:dyDescent="0.2">
      <c r="B40" s="5"/>
      <c r="C40" s="8"/>
      <c r="D40" s="8"/>
      <c r="E40" s="8"/>
      <c r="F40" s="8"/>
      <c r="G40" s="183"/>
      <c r="H40" s="207"/>
      <c r="I40" s="15">
        <f t="shared" si="4"/>
        <v>0</v>
      </c>
    </row>
    <row r="41" spans="2:13" x14ac:dyDescent="0.2">
      <c r="B41" s="5"/>
      <c r="C41" s="8"/>
      <c r="D41" s="8"/>
      <c r="E41" s="8"/>
      <c r="F41" s="8"/>
      <c r="G41" s="183"/>
      <c r="H41" s="207"/>
      <c r="I41" s="15">
        <f t="shared" si="4"/>
        <v>0</v>
      </c>
    </row>
    <row r="42" spans="2:13" x14ac:dyDescent="0.2">
      <c r="B42" s="5"/>
      <c r="C42" s="8"/>
      <c r="D42" s="8"/>
      <c r="E42" s="8"/>
      <c r="F42" s="8"/>
      <c r="G42" s="183"/>
      <c r="H42" s="207"/>
      <c r="I42" s="15">
        <f t="shared" si="4"/>
        <v>0</v>
      </c>
    </row>
    <row r="43" spans="2:13" x14ac:dyDescent="0.2">
      <c r="B43" s="5"/>
      <c r="C43" s="3"/>
      <c r="D43" s="203"/>
      <c r="E43" s="12"/>
      <c r="F43" s="202" t="s">
        <v>383</v>
      </c>
      <c r="G43" s="194">
        <f>SUM(G38:G42)</f>
        <v>0</v>
      </c>
      <c r="H43" s="197" t="s">
        <v>365</v>
      </c>
      <c r="I43" s="16">
        <f>SUM(I38:I42)</f>
        <v>0</v>
      </c>
    </row>
    <row r="44" spans="2:13" x14ac:dyDescent="0.2">
      <c r="B44" s="3"/>
      <c r="C44" s="4"/>
      <c r="D44" s="201"/>
      <c r="E44" s="2"/>
      <c r="F44" s="10" t="s">
        <v>384</v>
      </c>
      <c r="G44" s="206">
        <v>15438</v>
      </c>
      <c r="H44" s="5"/>
      <c r="I44" s="5"/>
      <c r="M44" s="216"/>
    </row>
    <row r="45" spans="2:13" x14ac:dyDescent="0.2">
      <c r="B45" s="5"/>
      <c r="C45" s="5"/>
      <c r="D45" s="5"/>
      <c r="E45" s="5"/>
      <c r="F45" s="5"/>
      <c r="G45" s="208"/>
      <c r="H45" s="5"/>
      <c r="I45" s="5"/>
    </row>
    <row r="47" spans="2:13" x14ac:dyDescent="0.2">
      <c r="F47" s="195"/>
      <c r="G47" s="195"/>
      <c r="H47" s="10" t="s">
        <v>4</v>
      </c>
      <c r="I47" s="19">
        <f>I11+I19+I27+I35+I43</f>
        <v>0</v>
      </c>
    </row>
  </sheetData>
  <mergeCells count="1">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EF24-42B4-4344-BC9B-602E95D1905B}">
  <dimension ref="B3:L23"/>
  <sheetViews>
    <sheetView topLeftCell="B1" workbookViewId="0">
      <selection activeCell="L22" sqref="L22"/>
    </sheetView>
  </sheetViews>
  <sheetFormatPr defaultRowHeight="12.75" x14ac:dyDescent="0.2"/>
  <cols>
    <col min="1" max="1" width="8.85546875" style="1"/>
    <col min="2" max="2" width="15.42578125" style="1" customWidth="1"/>
    <col min="3" max="3" width="37.42578125" style="1" customWidth="1"/>
    <col min="4" max="4" width="16.140625" style="1" customWidth="1"/>
    <col min="5" max="5" width="18.5703125" style="1" customWidth="1"/>
    <col min="6" max="6" width="13" style="1" customWidth="1"/>
    <col min="7" max="7" width="8.85546875" style="1" customWidth="1"/>
    <col min="8" max="8" width="17.85546875" style="1" customWidth="1"/>
    <col min="9" max="9" width="16.140625" style="1" customWidth="1"/>
    <col min="10" max="10" width="9.140625" style="1"/>
    <col min="11" max="11" width="16.5703125" style="1" customWidth="1"/>
    <col min="12" max="255" width="9.140625" style="1"/>
    <col min="256" max="256" width="20.85546875" style="1" customWidth="1"/>
    <col min="257" max="257" width="27.5703125" style="1" customWidth="1"/>
    <col min="258" max="258" width="18.140625" style="1" customWidth="1"/>
    <col min="259" max="259" width="14.42578125" style="1" customWidth="1"/>
    <col min="260" max="260" width="16.140625" style="1" customWidth="1"/>
    <col min="261" max="261" width="10.140625" style="1" customWidth="1"/>
    <col min="262" max="262" width="9" style="1" customWidth="1"/>
    <col min="263" max="263" width="10.85546875" style="1" customWidth="1"/>
    <col min="264" max="511" width="9.140625" style="1"/>
    <col min="512" max="512" width="20.85546875" style="1" customWidth="1"/>
    <col min="513" max="513" width="27.5703125" style="1" customWidth="1"/>
    <col min="514" max="514" width="18.140625" style="1" customWidth="1"/>
    <col min="515" max="515" width="14.42578125" style="1" customWidth="1"/>
    <col min="516" max="516" width="16.140625" style="1" customWidth="1"/>
    <col min="517" max="517" width="10.140625" style="1" customWidth="1"/>
    <col min="518" max="518" width="9" style="1" customWidth="1"/>
    <col min="519" max="519" width="10.85546875" style="1" customWidth="1"/>
    <col min="520" max="767" width="9.140625" style="1"/>
    <col min="768" max="768" width="20.85546875" style="1" customWidth="1"/>
    <col min="769" max="769" width="27.5703125" style="1" customWidth="1"/>
    <col min="770" max="770" width="18.140625" style="1" customWidth="1"/>
    <col min="771" max="771" width="14.42578125" style="1" customWidth="1"/>
    <col min="772" max="772" width="16.140625" style="1" customWidth="1"/>
    <col min="773" max="773" width="10.140625" style="1" customWidth="1"/>
    <col min="774" max="774" width="9" style="1" customWidth="1"/>
    <col min="775" max="775" width="10.85546875" style="1" customWidth="1"/>
    <col min="776" max="1023" width="9.140625" style="1"/>
    <col min="1024" max="1024" width="20.85546875" style="1" customWidth="1"/>
    <col min="1025" max="1025" width="27.5703125" style="1" customWidth="1"/>
    <col min="1026" max="1026" width="18.140625" style="1" customWidth="1"/>
    <col min="1027" max="1027" width="14.42578125" style="1" customWidth="1"/>
    <col min="1028" max="1028" width="16.140625" style="1" customWidth="1"/>
    <col min="1029" max="1029" width="10.140625" style="1" customWidth="1"/>
    <col min="1030" max="1030" width="9" style="1" customWidth="1"/>
    <col min="1031" max="1031" width="10.85546875" style="1" customWidth="1"/>
    <col min="1032" max="1279" width="9.140625" style="1"/>
    <col min="1280" max="1280" width="20.85546875" style="1" customWidth="1"/>
    <col min="1281" max="1281" width="27.5703125" style="1" customWidth="1"/>
    <col min="1282" max="1282" width="18.140625" style="1" customWidth="1"/>
    <col min="1283" max="1283" width="14.42578125" style="1" customWidth="1"/>
    <col min="1284" max="1284" width="16.140625" style="1" customWidth="1"/>
    <col min="1285" max="1285" width="10.140625" style="1" customWidth="1"/>
    <col min="1286" max="1286" width="9" style="1" customWidth="1"/>
    <col min="1287" max="1287" width="10.85546875" style="1" customWidth="1"/>
    <col min="1288" max="1535" width="9.140625" style="1"/>
    <col min="1536" max="1536" width="20.85546875" style="1" customWidth="1"/>
    <col min="1537" max="1537" width="27.5703125" style="1" customWidth="1"/>
    <col min="1538" max="1538" width="18.140625" style="1" customWidth="1"/>
    <col min="1539" max="1539" width="14.42578125" style="1" customWidth="1"/>
    <col min="1540" max="1540" width="16.140625" style="1" customWidth="1"/>
    <col min="1541" max="1541" width="10.140625" style="1" customWidth="1"/>
    <col min="1542" max="1542" width="9" style="1" customWidth="1"/>
    <col min="1543" max="1543" width="10.85546875" style="1" customWidth="1"/>
    <col min="1544" max="1791" width="9.140625" style="1"/>
    <col min="1792" max="1792" width="20.85546875" style="1" customWidth="1"/>
    <col min="1793" max="1793" width="27.5703125" style="1" customWidth="1"/>
    <col min="1794" max="1794" width="18.140625" style="1" customWidth="1"/>
    <col min="1795" max="1795" width="14.42578125" style="1" customWidth="1"/>
    <col min="1796" max="1796" width="16.140625" style="1" customWidth="1"/>
    <col min="1797" max="1797" width="10.140625" style="1" customWidth="1"/>
    <col min="1798" max="1798" width="9" style="1" customWidth="1"/>
    <col min="1799" max="1799" width="10.85546875" style="1" customWidth="1"/>
    <col min="1800" max="2047" width="9.140625" style="1"/>
    <col min="2048" max="2048" width="20.85546875" style="1" customWidth="1"/>
    <col min="2049" max="2049" width="27.5703125" style="1" customWidth="1"/>
    <col min="2050" max="2050" width="18.140625" style="1" customWidth="1"/>
    <col min="2051" max="2051" width="14.42578125" style="1" customWidth="1"/>
    <col min="2052" max="2052" width="16.140625" style="1" customWidth="1"/>
    <col min="2053" max="2053" width="10.140625" style="1" customWidth="1"/>
    <col min="2054" max="2054" width="9" style="1" customWidth="1"/>
    <col min="2055" max="2055" width="10.85546875" style="1" customWidth="1"/>
    <col min="2056" max="2303" width="9.140625" style="1"/>
    <col min="2304" max="2304" width="20.85546875" style="1" customWidth="1"/>
    <col min="2305" max="2305" width="27.5703125" style="1" customWidth="1"/>
    <col min="2306" max="2306" width="18.140625" style="1" customWidth="1"/>
    <col min="2307" max="2307" width="14.42578125" style="1" customWidth="1"/>
    <col min="2308" max="2308" width="16.140625" style="1" customWidth="1"/>
    <col min="2309" max="2309" width="10.140625" style="1" customWidth="1"/>
    <col min="2310" max="2310" width="9" style="1" customWidth="1"/>
    <col min="2311" max="2311" width="10.85546875" style="1" customWidth="1"/>
    <col min="2312" max="2559" width="9.140625" style="1"/>
    <col min="2560" max="2560" width="20.85546875" style="1" customWidth="1"/>
    <col min="2561" max="2561" width="27.5703125" style="1" customWidth="1"/>
    <col min="2562" max="2562" width="18.140625" style="1" customWidth="1"/>
    <col min="2563" max="2563" width="14.42578125" style="1" customWidth="1"/>
    <col min="2564" max="2564" width="16.140625" style="1" customWidth="1"/>
    <col min="2565" max="2565" width="10.140625" style="1" customWidth="1"/>
    <col min="2566" max="2566" width="9" style="1" customWidth="1"/>
    <col min="2567" max="2567" width="10.85546875" style="1" customWidth="1"/>
    <col min="2568" max="2815" width="9.140625" style="1"/>
    <col min="2816" max="2816" width="20.85546875" style="1" customWidth="1"/>
    <col min="2817" max="2817" width="27.5703125" style="1" customWidth="1"/>
    <col min="2818" max="2818" width="18.140625" style="1" customWidth="1"/>
    <col min="2819" max="2819" width="14.42578125" style="1" customWidth="1"/>
    <col min="2820" max="2820" width="16.140625" style="1" customWidth="1"/>
    <col min="2821" max="2821" width="10.140625" style="1" customWidth="1"/>
    <col min="2822" max="2822" width="9" style="1" customWidth="1"/>
    <col min="2823" max="2823" width="10.85546875" style="1" customWidth="1"/>
    <col min="2824" max="3071" width="9.140625" style="1"/>
    <col min="3072" max="3072" width="20.85546875" style="1" customWidth="1"/>
    <col min="3073" max="3073" width="27.5703125" style="1" customWidth="1"/>
    <col min="3074" max="3074" width="18.140625" style="1" customWidth="1"/>
    <col min="3075" max="3075" width="14.42578125" style="1" customWidth="1"/>
    <col min="3076" max="3076" width="16.140625" style="1" customWidth="1"/>
    <col min="3077" max="3077" width="10.140625" style="1" customWidth="1"/>
    <col min="3078" max="3078" width="9" style="1" customWidth="1"/>
    <col min="3079" max="3079" width="10.85546875" style="1" customWidth="1"/>
    <col min="3080" max="3327" width="9.140625" style="1"/>
    <col min="3328" max="3328" width="20.85546875" style="1" customWidth="1"/>
    <col min="3329" max="3329" width="27.5703125" style="1" customWidth="1"/>
    <col min="3330" max="3330" width="18.140625" style="1" customWidth="1"/>
    <col min="3331" max="3331" width="14.42578125" style="1" customWidth="1"/>
    <col min="3332" max="3332" width="16.140625" style="1" customWidth="1"/>
    <col min="3333" max="3333" width="10.140625" style="1" customWidth="1"/>
    <col min="3334" max="3334" width="9" style="1" customWidth="1"/>
    <col min="3335" max="3335" width="10.85546875" style="1" customWidth="1"/>
    <col min="3336" max="3583" width="9.140625" style="1"/>
    <col min="3584" max="3584" width="20.85546875" style="1" customWidth="1"/>
    <col min="3585" max="3585" width="27.5703125" style="1" customWidth="1"/>
    <col min="3586" max="3586" width="18.140625" style="1" customWidth="1"/>
    <col min="3587" max="3587" width="14.42578125" style="1" customWidth="1"/>
    <col min="3588" max="3588" width="16.140625" style="1" customWidth="1"/>
    <col min="3589" max="3589" width="10.140625" style="1" customWidth="1"/>
    <col min="3590" max="3590" width="9" style="1" customWidth="1"/>
    <col min="3591" max="3591" width="10.85546875" style="1" customWidth="1"/>
    <col min="3592" max="3839" width="9.140625" style="1"/>
    <col min="3840" max="3840" width="20.85546875" style="1" customWidth="1"/>
    <col min="3841" max="3841" width="27.5703125" style="1" customWidth="1"/>
    <col min="3842" max="3842" width="18.140625" style="1" customWidth="1"/>
    <col min="3843" max="3843" width="14.42578125" style="1" customWidth="1"/>
    <col min="3844" max="3844" width="16.140625" style="1" customWidth="1"/>
    <col min="3845" max="3845" width="10.140625" style="1" customWidth="1"/>
    <col min="3846" max="3846" width="9" style="1" customWidth="1"/>
    <col min="3847" max="3847" width="10.85546875" style="1" customWidth="1"/>
    <col min="3848" max="4095" width="9.140625" style="1"/>
    <col min="4096" max="4096" width="20.85546875" style="1" customWidth="1"/>
    <col min="4097" max="4097" width="27.5703125" style="1" customWidth="1"/>
    <col min="4098" max="4098" width="18.140625" style="1" customWidth="1"/>
    <col min="4099" max="4099" width="14.42578125" style="1" customWidth="1"/>
    <col min="4100" max="4100" width="16.140625" style="1" customWidth="1"/>
    <col min="4101" max="4101" width="10.140625" style="1" customWidth="1"/>
    <col min="4102" max="4102" width="9" style="1" customWidth="1"/>
    <col min="4103" max="4103" width="10.85546875" style="1" customWidth="1"/>
    <col min="4104" max="4351" width="9.140625" style="1"/>
    <col min="4352" max="4352" width="20.85546875" style="1" customWidth="1"/>
    <col min="4353" max="4353" width="27.5703125" style="1" customWidth="1"/>
    <col min="4354" max="4354" width="18.140625" style="1" customWidth="1"/>
    <col min="4355" max="4355" width="14.42578125" style="1" customWidth="1"/>
    <col min="4356" max="4356" width="16.140625" style="1" customWidth="1"/>
    <col min="4357" max="4357" width="10.140625" style="1" customWidth="1"/>
    <col min="4358" max="4358" width="9" style="1" customWidth="1"/>
    <col min="4359" max="4359" width="10.85546875" style="1" customWidth="1"/>
    <col min="4360" max="4607" width="9.140625" style="1"/>
    <col min="4608" max="4608" width="20.85546875" style="1" customWidth="1"/>
    <col min="4609" max="4609" width="27.5703125" style="1" customWidth="1"/>
    <col min="4610" max="4610" width="18.140625" style="1" customWidth="1"/>
    <col min="4611" max="4611" width="14.42578125" style="1" customWidth="1"/>
    <col min="4612" max="4612" width="16.140625" style="1" customWidth="1"/>
    <col min="4613" max="4613" width="10.140625" style="1" customWidth="1"/>
    <col min="4614" max="4614" width="9" style="1" customWidth="1"/>
    <col min="4615" max="4615" width="10.85546875" style="1" customWidth="1"/>
    <col min="4616" max="4863" width="9.140625" style="1"/>
    <col min="4864" max="4864" width="20.85546875" style="1" customWidth="1"/>
    <col min="4865" max="4865" width="27.5703125" style="1" customWidth="1"/>
    <col min="4866" max="4866" width="18.140625" style="1" customWidth="1"/>
    <col min="4867" max="4867" width="14.42578125" style="1" customWidth="1"/>
    <col min="4868" max="4868" width="16.140625" style="1" customWidth="1"/>
    <col min="4869" max="4869" width="10.140625" style="1" customWidth="1"/>
    <col min="4870" max="4870" width="9" style="1" customWidth="1"/>
    <col min="4871" max="4871" width="10.85546875" style="1" customWidth="1"/>
    <col min="4872" max="5119" width="9.140625" style="1"/>
    <col min="5120" max="5120" width="20.85546875" style="1" customWidth="1"/>
    <col min="5121" max="5121" width="27.5703125" style="1" customWidth="1"/>
    <col min="5122" max="5122" width="18.140625" style="1" customWidth="1"/>
    <col min="5123" max="5123" width="14.42578125" style="1" customWidth="1"/>
    <col min="5124" max="5124" width="16.140625" style="1" customWidth="1"/>
    <col min="5125" max="5125" width="10.140625" style="1" customWidth="1"/>
    <col min="5126" max="5126" width="9" style="1" customWidth="1"/>
    <col min="5127" max="5127" width="10.85546875" style="1" customWidth="1"/>
    <col min="5128" max="5375" width="9.140625" style="1"/>
    <col min="5376" max="5376" width="20.85546875" style="1" customWidth="1"/>
    <col min="5377" max="5377" width="27.5703125" style="1" customWidth="1"/>
    <col min="5378" max="5378" width="18.140625" style="1" customWidth="1"/>
    <col min="5379" max="5379" width="14.42578125" style="1" customWidth="1"/>
    <col min="5380" max="5380" width="16.140625" style="1" customWidth="1"/>
    <col min="5381" max="5381" width="10.140625" style="1" customWidth="1"/>
    <col min="5382" max="5382" width="9" style="1" customWidth="1"/>
    <col min="5383" max="5383" width="10.85546875" style="1" customWidth="1"/>
    <col min="5384" max="5631" width="9.140625" style="1"/>
    <col min="5632" max="5632" width="20.85546875" style="1" customWidth="1"/>
    <col min="5633" max="5633" width="27.5703125" style="1" customWidth="1"/>
    <col min="5634" max="5634" width="18.140625" style="1" customWidth="1"/>
    <col min="5635" max="5635" width="14.42578125" style="1" customWidth="1"/>
    <col min="5636" max="5636" width="16.140625" style="1" customWidth="1"/>
    <col min="5637" max="5637" width="10.140625" style="1" customWidth="1"/>
    <col min="5638" max="5638" width="9" style="1" customWidth="1"/>
    <col min="5639" max="5639" width="10.85546875" style="1" customWidth="1"/>
    <col min="5640" max="5887" width="9.140625" style="1"/>
    <col min="5888" max="5888" width="20.85546875" style="1" customWidth="1"/>
    <col min="5889" max="5889" width="27.5703125" style="1" customWidth="1"/>
    <col min="5890" max="5890" width="18.140625" style="1" customWidth="1"/>
    <col min="5891" max="5891" width="14.42578125" style="1" customWidth="1"/>
    <col min="5892" max="5892" width="16.140625" style="1" customWidth="1"/>
    <col min="5893" max="5893" width="10.140625" style="1" customWidth="1"/>
    <col min="5894" max="5894" width="9" style="1" customWidth="1"/>
    <col min="5895" max="5895" width="10.85546875" style="1" customWidth="1"/>
    <col min="5896" max="6143" width="9.140625" style="1"/>
    <col min="6144" max="6144" width="20.85546875" style="1" customWidth="1"/>
    <col min="6145" max="6145" width="27.5703125" style="1" customWidth="1"/>
    <col min="6146" max="6146" width="18.140625" style="1" customWidth="1"/>
    <col min="6147" max="6147" width="14.42578125" style="1" customWidth="1"/>
    <col min="6148" max="6148" width="16.140625" style="1" customWidth="1"/>
    <col min="6149" max="6149" width="10.140625" style="1" customWidth="1"/>
    <col min="6150" max="6150" width="9" style="1" customWidth="1"/>
    <col min="6151" max="6151" width="10.85546875" style="1" customWidth="1"/>
    <col min="6152" max="6399" width="9.140625" style="1"/>
    <col min="6400" max="6400" width="20.85546875" style="1" customWidth="1"/>
    <col min="6401" max="6401" width="27.5703125" style="1" customWidth="1"/>
    <col min="6402" max="6402" width="18.140625" style="1" customWidth="1"/>
    <col min="6403" max="6403" width="14.42578125" style="1" customWidth="1"/>
    <col min="6404" max="6404" width="16.140625" style="1" customWidth="1"/>
    <col min="6405" max="6405" width="10.140625" style="1" customWidth="1"/>
    <col min="6406" max="6406" width="9" style="1" customWidth="1"/>
    <col min="6407" max="6407" width="10.85546875" style="1" customWidth="1"/>
    <col min="6408" max="6655" width="9.140625" style="1"/>
    <col min="6656" max="6656" width="20.85546875" style="1" customWidth="1"/>
    <col min="6657" max="6657" width="27.5703125" style="1" customWidth="1"/>
    <col min="6658" max="6658" width="18.140625" style="1" customWidth="1"/>
    <col min="6659" max="6659" width="14.42578125" style="1" customWidth="1"/>
    <col min="6660" max="6660" width="16.140625" style="1" customWidth="1"/>
    <col min="6661" max="6661" width="10.140625" style="1" customWidth="1"/>
    <col min="6662" max="6662" width="9" style="1" customWidth="1"/>
    <col min="6663" max="6663" width="10.85546875" style="1" customWidth="1"/>
    <col min="6664" max="6911" width="9.140625" style="1"/>
    <col min="6912" max="6912" width="20.85546875" style="1" customWidth="1"/>
    <col min="6913" max="6913" width="27.5703125" style="1" customWidth="1"/>
    <col min="6914" max="6914" width="18.140625" style="1" customWidth="1"/>
    <col min="6915" max="6915" width="14.42578125" style="1" customWidth="1"/>
    <col min="6916" max="6916" width="16.140625" style="1" customWidth="1"/>
    <col min="6917" max="6917" width="10.140625" style="1" customWidth="1"/>
    <col min="6918" max="6918" width="9" style="1" customWidth="1"/>
    <col min="6919" max="6919" width="10.85546875" style="1" customWidth="1"/>
    <col min="6920" max="7167" width="9.140625" style="1"/>
    <col min="7168" max="7168" width="20.85546875" style="1" customWidth="1"/>
    <col min="7169" max="7169" width="27.5703125" style="1" customWidth="1"/>
    <col min="7170" max="7170" width="18.140625" style="1" customWidth="1"/>
    <col min="7171" max="7171" width="14.42578125" style="1" customWidth="1"/>
    <col min="7172" max="7172" width="16.140625" style="1" customWidth="1"/>
    <col min="7173" max="7173" width="10.140625" style="1" customWidth="1"/>
    <col min="7174" max="7174" width="9" style="1" customWidth="1"/>
    <col min="7175" max="7175" width="10.85546875" style="1" customWidth="1"/>
    <col min="7176" max="7423" width="9.140625" style="1"/>
    <col min="7424" max="7424" width="20.85546875" style="1" customWidth="1"/>
    <col min="7425" max="7425" width="27.5703125" style="1" customWidth="1"/>
    <col min="7426" max="7426" width="18.140625" style="1" customWidth="1"/>
    <col min="7427" max="7427" width="14.42578125" style="1" customWidth="1"/>
    <col min="7428" max="7428" width="16.140625" style="1" customWidth="1"/>
    <col min="7429" max="7429" width="10.140625" style="1" customWidth="1"/>
    <col min="7430" max="7430" width="9" style="1" customWidth="1"/>
    <col min="7431" max="7431" width="10.85546875" style="1" customWidth="1"/>
    <col min="7432" max="7679" width="9.140625" style="1"/>
    <col min="7680" max="7680" width="20.85546875" style="1" customWidth="1"/>
    <col min="7681" max="7681" width="27.5703125" style="1" customWidth="1"/>
    <col min="7682" max="7682" width="18.140625" style="1" customWidth="1"/>
    <col min="7683" max="7683" width="14.42578125" style="1" customWidth="1"/>
    <col min="7684" max="7684" width="16.140625" style="1" customWidth="1"/>
    <col min="7685" max="7685" width="10.140625" style="1" customWidth="1"/>
    <col min="7686" max="7686" width="9" style="1" customWidth="1"/>
    <col min="7687" max="7687" width="10.85546875" style="1" customWidth="1"/>
    <col min="7688" max="7935" width="9.140625" style="1"/>
    <col min="7936" max="7936" width="20.85546875" style="1" customWidth="1"/>
    <col min="7937" max="7937" width="27.5703125" style="1" customWidth="1"/>
    <col min="7938" max="7938" width="18.140625" style="1" customWidth="1"/>
    <col min="7939" max="7939" width="14.42578125" style="1" customWidth="1"/>
    <col min="7940" max="7940" width="16.140625" style="1" customWidth="1"/>
    <col min="7941" max="7941" width="10.140625" style="1" customWidth="1"/>
    <col min="7942" max="7942" width="9" style="1" customWidth="1"/>
    <col min="7943" max="7943" width="10.85546875" style="1" customWidth="1"/>
    <col min="7944" max="8191" width="9.140625" style="1"/>
    <col min="8192" max="8192" width="20.85546875" style="1" customWidth="1"/>
    <col min="8193" max="8193" width="27.5703125" style="1" customWidth="1"/>
    <col min="8194" max="8194" width="18.140625" style="1" customWidth="1"/>
    <col min="8195" max="8195" width="14.42578125" style="1" customWidth="1"/>
    <col min="8196" max="8196" width="16.140625" style="1" customWidth="1"/>
    <col min="8197" max="8197" width="10.140625" style="1" customWidth="1"/>
    <col min="8198" max="8198" width="9" style="1" customWidth="1"/>
    <col min="8199" max="8199" width="10.85546875" style="1" customWidth="1"/>
    <col min="8200" max="8447" width="9.140625" style="1"/>
    <col min="8448" max="8448" width="20.85546875" style="1" customWidth="1"/>
    <col min="8449" max="8449" width="27.5703125" style="1" customWidth="1"/>
    <col min="8450" max="8450" width="18.140625" style="1" customWidth="1"/>
    <col min="8451" max="8451" width="14.42578125" style="1" customWidth="1"/>
    <col min="8452" max="8452" width="16.140625" style="1" customWidth="1"/>
    <col min="8453" max="8453" width="10.140625" style="1" customWidth="1"/>
    <col min="8454" max="8454" width="9" style="1" customWidth="1"/>
    <col min="8455" max="8455" width="10.85546875" style="1" customWidth="1"/>
    <col min="8456" max="8703" width="9.140625" style="1"/>
    <col min="8704" max="8704" width="20.85546875" style="1" customWidth="1"/>
    <col min="8705" max="8705" width="27.5703125" style="1" customWidth="1"/>
    <col min="8706" max="8706" width="18.140625" style="1" customWidth="1"/>
    <col min="8707" max="8707" width="14.42578125" style="1" customWidth="1"/>
    <col min="8708" max="8708" width="16.140625" style="1" customWidth="1"/>
    <col min="8709" max="8709" width="10.140625" style="1" customWidth="1"/>
    <col min="8710" max="8710" width="9" style="1" customWidth="1"/>
    <col min="8711" max="8711" width="10.85546875" style="1" customWidth="1"/>
    <col min="8712" max="8959" width="9.140625" style="1"/>
    <col min="8960" max="8960" width="20.85546875" style="1" customWidth="1"/>
    <col min="8961" max="8961" width="27.5703125" style="1" customWidth="1"/>
    <col min="8962" max="8962" width="18.140625" style="1" customWidth="1"/>
    <col min="8963" max="8963" width="14.42578125" style="1" customWidth="1"/>
    <col min="8964" max="8964" width="16.140625" style="1" customWidth="1"/>
    <col min="8965" max="8965" width="10.140625" style="1" customWidth="1"/>
    <col min="8966" max="8966" width="9" style="1" customWidth="1"/>
    <col min="8967" max="8967" width="10.85546875" style="1" customWidth="1"/>
    <col min="8968" max="9215" width="9.140625" style="1"/>
    <col min="9216" max="9216" width="20.85546875" style="1" customWidth="1"/>
    <col min="9217" max="9217" width="27.5703125" style="1" customWidth="1"/>
    <col min="9218" max="9218" width="18.140625" style="1" customWidth="1"/>
    <col min="9219" max="9219" width="14.42578125" style="1" customWidth="1"/>
    <col min="9220" max="9220" width="16.140625" style="1" customWidth="1"/>
    <col min="9221" max="9221" width="10.140625" style="1" customWidth="1"/>
    <col min="9222" max="9222" width="9" style="1" customWidth="1"/>
    <col min="9223" max="9223" width="10.85546875" style="1" customWidth="1"/>
    <col min="9224" max="9471" width="9.140625" style="1"/>
    <col min="9472" max="9472" width="20.85546875" style="1" customWidth="1"/>
    <col min="9473" max="9473" width="27.5703125" style="1" customWidth="1"/>
    <col min="9474" max="9474" width="18.140625" style="1" customWidth="1"/>
    <col min="9475" max="9475" width="14.42578125" style="1" customWidth="1"/>
    <col min="9476" max="9476" width="16.140625" style="1" customWidth="1"/>
    <col min="9477" max="9477" width="10.140625" style="1" customWidth="1"/>
    <col min="9478" max="9478" width="9" style="1" customWidth="1"/>
    <col min="9479" max="9479" width="10.85546875" style="1" customWidth="1"/>
    <col min="9480" max="9727" width="9.140625" style="1"/>
    <col min="9728" max="9728" width="20.85546875" style="1" customWidth="1"/>
    <col min="9729" max="9729" width="27.5703125" style="1" customWidth="1"/>
    <col min="9730" max="9730" width="18.140625" style="1" customWidth="1"/>
    <col min="9731" max="9731" width="14.42578125" style="1" customWidth="1"/>
    <col min="9732" max="9732" width="16.140625" style="1" customWidth="1"/>
    <col min="9733" max="9733" width="10.140625" style="1" customWidth="1"/>
    <col min="9734" max="9734" width="9" style="1" customWidth="1"/>
    <col min="9735" max="9735" width="10.85546875" style="1" customWidth="1"/>
    <col min="9736" max="9983" width="9.140625" style="1"/>
    <col min="9984" max="9984" width="20.85546875" style="1" customWidth="1"/>
    <col min="9985" max="9985" width="27.5703125" style="1" customWidth="1"/>
    <col min="9986" max="9986" width="18.140625" style="1" customWidth="1"/>
    <col min="9987" max="9987" width="14.42578125" style="1" customWidth="1"/>
    <col min="9988" max="9988" width="16.140625" style="1" customWidth="1"/>
    <col min="9989" max="9989" width="10.140625" style="1" customWidth="1"/>
    <col min="9990" max="9990" width="9" style="1" customWidth="1"/>
    <col min="9991" max="9991" width="10.85546875" style="1" customWidth="1"/>
    <col min="9992" max="10239" width="9.140625" style="1"/>
    <col min="10240" max="10240" width="20.85546875" style="1" customWidth="1"/>
    <col min="10241" max="10241" width="27.5703125" style="1" customWidth="1"/>
    <col min="10242" max="10242" width="18.140625" style="1" customWidth="1"/>
    <col min="10243" max="10243" width="14.42578125" style="1" customWidth="1"/>
    <col min="10244" max="10244" width="16.140625" style="1" customWidth="1"/>
    <col min="10245" max="10245" width="10.140625" style="1" customWidth="1"/>
    <col min="10246" max="10246" width="9" style="1" customWidth="1"/>
    <col min="10247" max="10247" width="10.85546875" style="1" customWidth="1"/>
    <col min="10248" max="10495" width="9.140625" style="1"/>
    <col min="10496" max="10496" width="20.85546875" style="1" customWidth="1"/>
    <col min="10497" max="10497" width="27.5703125" style="1" customWidth="1"/>
    <col min="10498" max="10498" width="18.140625" style="1" customWidth="1"/>
    <col min="10499" max="10499" width="14.42578125" style="1" customWidth="1"/>
    <col min="10500" max="10500" width="16.140625" style="1" customWidth="1"/>
    <col min="10501" max="10501" width="10.140625" style="1" customWidth="1"/>
    <col min="10502" max="10502" width="9" style="1" customWidth="1"/>
    <col min="10503" max="10503" width="10.85546875" style="1" customWidth="1"/>
    <col min="10504" max="10751" width="9.140625" style="1"/>
    <col min="10752" max="10752" width="20.85546875" style="1" customWidth="1"/>
    <col min="10753" max="10753" width="27.5703125" style="1" customWidth="1"/>
    <col min="10754" max="10754" width="18.140625" style="1" customWidth="1"/>
    <col min="10755" max="10755" width="14.42578125" style="1" customWidth="1"/>
    <col min="10756" max="10756" width="16.140625" style="1" customWidth="1"/>
    <col min="10757" max="10757" width="10.140625" style="1" customWidth="1"/>
    <col min="10758" max="10758" width="9" style="1" customWidth="1"/>
    <col min="10759" max="10759" width="10.85546875" style="1" customWidth="1"/>
    <col min="10760" max="11007" width="9.140625" style="1"/>
    <col min="11008" max="11008" width="20.85546875" style="1" customWidth="1"/>
    <col min="11009" max="11009" width="27.5703125" style="1" customWidth="1"/>
    <col min="11010" max="11010" width="18.140625" style="1" customWidth="1"/>
    <col min="11011" max="11011" width="14.42578125" style="1" customWidth="1"/>
    <col min="11012" max="11012" width="16.140625" style="1" customWidth="1"/>
    <col min="11013" max="11013" width="10.140625" style="1" customWidth="1"/>
    <col min="11014" max="11014" width="9" style="1" customWidth="1"/>
    <col min="11015" max="11015" width="10.85546875" style="1" customWidth="1"/>
    <col min="11016" max="11263" width="9.140625" style="1"/>
    <col min="11264" max="11264" width="20.85546875" style="1" customWidth="1"/>
    <col min="11265" max="11265" width="27.5703125" style="1" customWidth="1"/>
    <col min="11266" max="11266" width="18.140625" style="1" customWidth="1"/>
    <col min="11267" max="11267" width="14.42578125" style="1" customWidth="1"/>
    <col min="11268" max="11268" width="16.140625" style="1" customWidth="1"/>
    <col min="11269" max="11269" width="10.140625" style="1" customWidth="1"/>
    <col min="11270" max="11270" width="9" style="1" customWidth="1"/>
    <col min="11271" max="11271" width="10.85546875" style="1" customWidth="1"/>
    <col min="11272" max="11519" width="9.140625" style="1"/>
    <col min="11520" max="11520" width="20.85546875" style="1" customWidth="1"/>
    <col min="11521" max="11521" width="27.5703125" style="1" customWidth="1"/>
    <col min="11522" max="11522" width="18.140625" style="1" customWidth="1"/>
    <col min="11523" max="11523" width="14.42578125" style="1" customWidth="1"/>
    <col min="11524" max="11524" width="16.140625" style="1" customWidth="1"/>
    <col min="11525" max="11525" width="10.140625" style="1" customWidth="1"/>
    <col min="11526" max="11526" width="9" style="1" customWidth="1"/>
    <col min="11527" max="11527" width="10.85546875" style="1" customWidth="1"/>
    <col min="11528" max="11775" width="9.140625" style="1"/>
    <col min="11776" max="11776" width="20.85546875" style="1" customWidth="1"/>
    <col min="11777" max="11777" width="27.5703125" style="1" customWidth="1"/>
    <col min="11778" max="11778" width="18.140625" style="1" customWidth="1"/>
    <col min="11779" max="11779" width="14.42578125" style="1" customWidth="1"/>
    <col min="11780" max="11780" width="16.140625" style="1" customWidth="1"/>
    <col min="11781" max="11781" width="10.140625" style="1" customWidth="1"/>
    <col min="11782" max="11782" width="9" style="1" customWidth="1"/>
    <col min="11783" max="11783" width="10.85546875" style="1" customWidth="1"/>
    <col min="11784" max="12031" width="9.140625" style="1"/>
    <col min="12032" max="12032" width="20.85546875" style="1" customWidth="1"/>
    <col min="12033" max="12033" width="27.5703125" style="1" customWidth="1"/>
    <col min="12034" max="12034" width="18.140625" style="1" customWidth="1"/>
    <col min="12035" max="12035" width="14.42578125" style="1" customWidth="1"/>
    <col min="12036" max="12036" width="16.140625" style="1" customWidth="1"/>
    <col min="12037" max="12037" width="10.140625" style="1" customWidth="1"/>
    <col min="12038" max="12038" width="9" style="1" customWidth="1"/>
    <col min="12039" max="12039" width="10.85546875" style="1" customWidth="1"/>
    <col min="12040" max="12287" width="9.140625" style="1"/>
    <col min="12288" max="12288" width="20.85546875" style="1" customWidth="1"/>
    <col min="12289" max="12289" width="27.5703125" style="1" customWidth="1"/>
    <col min="12290" max="12290" width="18.140625" style="1" customWidth="1"/>
    <col min="12291" max="12291" width="14.42578125" style="1" customWidth="1"/>
    <col min="12292" max="12292" width="16.140625" style="1" customWidth="1"/>
    <col min="12293" max="12293" width="10.140625" style="1" customWidth="1"/>
    <col min="12294" max="12294" width="9" style="1" customWidth="1"/>
    <col min="12295" max="12295" width="10.85546875" style="1" customWidth="1"/>
    <col min="12296" max="12543" width="9.140625" style="1"/>
    <col min="12544" max="12544" width="20.85546875" style="1" customWidth="1"/>
    <col min="12545" max="12545" width="27.5703125" style="1" customWidth="1"/>
    <col min="12546" max="12546" width="18.140625" style="1" customWidth="1"/>
    <col min="12547" max="12547" width="14.42578125" style="1" customWidth="1"/>
    <col min="12548" max="12548" width="16.140625" style="1" customWidth="1"/>
    <col min="12549" max="12549" width="10.140625" style="1" customWidth="1"/>
    <col min="12550" max="12550" width="9" style="1" customWidth="1"/>
    <col min="12551" max="12551" width="10.85546875" style="1" customWidth="1"/>
    <col min="12552" max="12799" width="9.140625" style="1"/>
    <col min="12800" max="12800" width="20.85546875" style="1" customWidth="1"/>
    <col min="12801" max="12801" width="27.5703125" style="1" customWidth="1"/>
    <col min="12802" max="12802" width="18.140625" style="1" customWidth="1"/>
    <col min="12803" max="12803" width="14.42578125" style="1" customWidth="1"/>
    <col min="12804" max="12804" width="16.140625" style="1" customWidth="1"/>
    <col min="12805" max="12805" width="10.140625" style="1" customWidth="1"/>
    <col min="12806" max="12806" width="9" style="1" customWidth="1"/>
    <col min="12807" max="12807" width="10.85546875" style="1" customWidth="1"/>
    <col min="12808" max="13055" width="9.140625" style="1"/>
    <col min="13056" max="13056" width="20.85546875" style="1" customWidth="1"/>
    <col min="13057" max="13057" width="27.5703125" style="1" customWidth="1"/>
    <col min="13058" max="13058" width="18.140625" style="1" customWidth="1"/>
    <col min="13059" max="13059" width="14.42578125" style="1" customWidth="1"/>
    <col min="13060" max="13060" width="16.140625" style="1" customWidth="1"/>
    <col min="13061" max="13061" width="10.140625" style="1" customWidth="1"/>
    <col min="13062" max="13062" width="9" style="1" customWidth="1"/>
    <col min="13063" max="13063" width="10.85546875" style="1" customWidth="1"/>
    <col min="13064" max="13311" width="9.140625" style="1"/>
    <col min="13312" max="13312" width="20.85546875" style="1" customWidth="1"/>
    <col min="13313" max="13313" width="27.5703125" style="1" customWidth="1"/>
    <col min="13314" max="13314" width="18.140625" style="1" customWidth="1"/>
    <col min="13315" max="13315" width="14.42578125" style="1" customWidth="1"/>
    <col min="13316" max="13316" width="16.140625" style="1" customWidth="1"/>
    <col min="13317" max="13317" width="10.140625" style="1" customWidth="1"/>
    <col min="13318" max="13318" width="9" style="1" customWidth="1"/>
    <col min="13319" max="13319" width="10.85546875" style="1" customWidth="1"/>
    <col min="13320" max="13567" width="9.140625" style="1"/>
    <col min="13568" max="13568" width="20.85546875" style="1" customWidth="1"/>
    <col min="13569" max="13569" width="27.5703125" style="1" customWidth="1"/>
    <col min="13570" max="13570" width="18.140625" style="1" customWidth="1"/>
    <col min="13571" max="13571" width="14.42578125" style="1" customWidth="1"/>
    <col min="13572" max="13572" width="16.140625" style="1" customWidth="1"/>
    <col min="13573" max="13573" width="10.140625" style="1" customWidth="1"/>
    <col min="13574" max="13574" width="9" style="1" customWidth="1"/>
    <col min="13575" max="13575" width="10.85546875" style="1" customWidth="1"/>
    <col min="13576" max="13823" width="9.140625" style="1"/>
    <col min="13824" max="13824" width="20.85546875" style="1" customWidth="1"/>
    <col min="13825" max="13825" width="27.5703125" style="1" customWidth="1"/>
    <col min="13826" max="13826" width="18.140625" style="1" customWidth="1"/>
    <col min="13827" max="13827" width="14.42578125" style="1" customWidth="1"/>
    <col min="13828" max="13828" width="16.140625" style="1" customWidth="1"/>
    <col min="13829" max="13829" width="10.140625" style="1" customWidth="1"/>
    <col min="13830" max="13830" width="9" style="1" customWidth="1"/>
    <col min="13831" max="13831" width="10.85546875" style="1" customWidth="1"/>
    <col min="13832" max="14079" width="9.140625" style="1"/>
    <col min="14080" max="14080" width="20.85546875" style="1" customWidth="1"/>
    <col min="14081" max="14081" width="27.5703125" style="1" customWidth="1"/>
    <col min="14082" max="14082" width="18.140625" style="1" customWidth="1"/>
    <col min="14083" max="14083" width="14.42578125" style="1" customWidth="1"/>
    <col min="14084" max="14084" width="16.140625" style="1" customWidth="1"/>
    <col min="14085" max="14085" width="10.140625" style="1" customWidth="1"/>
    <col min="14086" max="14086" width="9" style="1" customWidth="1"/>
    <col min="14087" max="14087" width="10.85546875" style="1" customWidth="1"/>
    <col min="14088" max="14335" width="9.140625" style="1"/>
    <col min="14336" max="14336" width="20.85546875" style="1" customWidth="1"/>
    <col min="14337" max="14337" width="27.5703125" style="1" customWidth="1"/>
    <col min="14338" max="14338" width="18.140625" style="1" customWidth="1"/>
    <col min="14339" max="14339" width="14.42578125" style="1" customWidth="1"/>
    <col min="14340" max="14340" width="16.140625" style="1" customWidth="1"/>
    <col min="14341" max="14341" width="10.140625" style="1" customWidth="1"/>
    <col min="14342" max="14342" width="9" style="1" customWidth="1"/>
    <col min="14343" max="14343" width="10.85546875" style="1" customWidth="1"/>
    <col min="14344" max="14591" width="9.140625" style="1"/>
    <col min="14592" max="14592" width="20.85546875" style="1" customWidth="1"/>
    <col min="14593" max="14593" width="27.5703125" style="1" customWidth="1"/>
    <col min="14594" max="14594" width="18.140625" style="1" customWidth="1"/>
    <col min="14595" max="14595" width="14.42578125" style="1" customWidth="1"/>
    <col min="14596" max="14596" width="16.140625" style="1" customWidth="1"/>
    <col min="14597" max="14597" width="10.140625" style="1" customWidth="1"/>
    <col min="14598" max="14598" width="9" style="1" customWidth="1"/>
    <col min="14599" max="14599" width="10.85546875" style="1" customWidth="1"/>
    <col min="14600" max="14847" width="9.140625" style="1"/>
    <col min="14848" max="14848" width="20.85546875" style="1" customWidth="1"/>
    <col min="14849" max="14849" width="27.5703125" style="1" customWidth="1"/>
    <col min="14850" max="14850" width="18.140625" style="1" customWidth="1"/>
    <col min="14851" max="14851" width="14.42578125" style="1" customWidth="1"/>
    <col min="14852" max="14852" width="16.140625" style="1" customWidth="1"/>
    <col min="14853" max="14853" width="10.140625" style="1" customWidth="1"/>
    <col min="14854" max="14854" width="9" style="1" customWidth="1"/>
    <col min="14855" max="14855" width="10.85546875" style="1" customWidth="1"/>
    <col min="14856" max="15103" width="9.140625" style="1"/>
    <col min="15104" max="15104" width="20.85546875" style="1" customWidth="1"/>
    <col min="15105" max="15105" width="27.5703125" style="1" customWidth="1"/>
    <col min="15106" max="15106" width="18.140625" style="1" customWidth="1"/>
    <col min="15107" max="15107" width="14.42578125" style="1" customWidth="1"/>
    <col min="15108" max="15108" width="16.140625" style="1" customWidth="1"/>
    <col min="15109" max="15109" width="10.140625" style="1" customWidth="1"/>
    <col min="15110" max="15110" width="9" style="1" customWidth="1"/>
    <col min="15111" max="15111" width="10.85546875" style="1" customWidth="1"/>
    <col min="15112" max="15359" width="9.140625" style="1"/>
    <col min="15360" max="15360" width="20.85546875" style="1" customWidth="1"/>
    <col min="15361" max="15361" width="27.5703125" style="1" customWidth="1"/>
    <col min="15362" max="15362" width="18.140625" style="1" customWidth="1"/>
    <col min="15363" max="15363" width="14.42578125" style="1" customWidth="1"/>
    <col min="15364" max="15364" width="16.140625" style="1" customWidth="1"/>
    <col min="15365" max="15365" width="10.140625" style="1" customWidth="1"/>
    <col min="15366" max="15366" width="9" style="1" customWidth="1"/>
    <col min="15367" max="15367" width="10.85546875" style="1" customWidth="1"/>
    <col min="15368" max="15615" width="9.140625" style="1"/>
    <col min="15616" max="15616" width="20.85546875" style="1" customWidth="1"/>
    <col min="15617" max="15617" width="27.5703125" style="1" customWidth="1"/>
    <col min="15618" max="15618" width="18.140625" style="1" customWidth="1"/>
    <col min="15619" max="15619" width="14.42578125" style="1" customWidth="1"/>
    <col min="15620" max="15620" width="16.140625" style="1" customWidth="1"/>
    <col min="15621" max="15621" width="10.140625" style="1" customWidth="1"/>
    <col min="15622" max="15622" width="9" style="1" customWidth="1"/>
    <col min="15623" max="15623" width="10.85546875" style="1" customWidth="1"/>
    <col min="15624" max="15871" width="9.140625" style="1"/>
    <col min="15872" max="15872" width="20.85546875" style="1" customWidth="1"/>
    <col min="15873" max="15873" width="27.5703125" style="1" customWidth="1"/>
    <col min="15874" max="15874" width="18.140625" style="1" customWidth="1"/>
    <col min="15875" max="15875" width="14.42578125" style="1" customWidth="1"/>
    <col min="15876" max="15876" width="16.140625" style="1" customWidth="1"/>
    <col min="15877" max="15877" width="10.140625" style="1" customWidth="1"/>
    <col min="15878" max="15878" width="9" style="1" customWidth="1"/>
    <col min="15879" max="15879" width="10.85546875" style="1" customWidth="1"/>
    <col min="15880" max="16127" width="9.140625" style="1"/>
    <col min="16128" max="16128" width="20.85546875" style="1" customWidth="1"/>
    <col min="16129" max="16129" width="27.5703125" style="1" customWidth="1"/>
    <col min="16130" max="16130" width="18.140625" style="1" customWidth="1"/>
    <col min="16131" max="16131" width="14.42578125" style="1" customWidth="1"/>
    <col min="16132" max="16132" width="16.140625" style="1" customWidth="1"/>
    <col min="16133" max="16133" width="10.140625" style="1" customWidth="1"/>
    <col min="16134" max="16134" width="9" style="1" customWidth="1"/>
    <col min="16135" max="16135" width="10.85546875" style="1" customWidth="1"/>
    <col min="16136" max="16384" width="9.140625" style="1"/>
  </cols>
  <sheetData>
    <row r="3" spans="2:11" ht="70.5" customHeight="1" x14ac:dyDescent="0.2">
      <c r="B3" s="240" t="s">
        <v>426</v>
      </c>
      <c r="C3" s="240"/>
      <c r="D3" s="240"/>
      <c r="E3" s="240"/>
      <c r="F3" s="240"/>
      <c r="G3" s="240"/>
      <c r="H3" s="240"/>
    </row>
    <row r="4" spans="2:11" s="7" customFormat="1" ht="12.75" customHeight="1" x14ac:dyDescent="0.2"/>
    <row r="5" spans="2:11" ht="44.45" customHeight="1" x14ac:dyDescent="0.2">
      <c r="B5" s="6" t="s">
        <v>8</v>
      </c>
      <c r="C5" s="6" t="s">
        <v>0</v>
      </c>
      <c r="D5" s="6" t="s">
        <v>354</v>
      </c>
      <c r="E5" s="6" t="s">
        <v>7</v>
      </c>
      <c r="F5" s="6" t="s">
        <v>6</v>
      </c>
      <c r="G5" s="6" t="s">
        <v>1</v>
      </c>
      <c r="H5" s="6" t="s">
        <v>423</v>
      </c>
      <c r="I5" s="6" t="s">
        <v>3</v>
      </c>
      <c r="K5" s="211" t="s">
        <v>417</v>
      </c>
    </row>
    <row r="6" spans="2:11" x14ac:dyDescent="0.2">
      <c r="B6" s="6" t="s">
        <v>390</v>
      </c>
      <c r="C6" s="8"/>
      <c r="D6" s="8"/>
      <c r="E6" s="8"/>
      <c r="F6" s="8"/>
      <c r="G6" s="183"/>
      <c r="H6" s="17"/>
      <c r="I6" s="15">
        <f>G6*H6</f>
        <v>0</v>
      </c>
      <c r="K6" s="210" t="s">
        <v>421</v>
      </c>
    </row>
    <row r="7" spans="2:11" x14ac:dyDescent="0.2">
      <c r="B7" s="5"/>
      <c r="C7" s="8"/>
      <c r="D7" s="8"/>
      <c r="E7" s="8"/>
      <c r="F7" s="8"/>
      <c r="G7" s="183"/>
      <c r="H7" s="17"/>
      <c r="I7" s="15">
        <f t="shared" ref="I7:I10" si="0">G7*H7</f>
        <v>0</v>
      </c>
      <c r="K7" s="195" t="s">
        <v>421</v>
      </c>
    </row>
    <row r="8" spans="2:11" x14ac:dyDescent="0.2">
      <c r="B8" s="5"/>
      <c r="C8" s="8"/>
      <c r="D8" s="8"/>
      <c r="E8" s="8"/>
      <c r="F8" s="8"/>
      <c r="G8" s="183"/>
      <c r="H8" s="17"/>
      <c r="I8" s="15">
        <f t="shared" si="0"/>
        <v>0</v>
      </c>
      <c r="K8" s="11" t="s">
        <v>422</v>
      </c>
    </row>
    <row r="9" spans="2:11" x14ac:dyDescent="0.2">
      <c r="B9" s="5"/>
      <c r="C9" s="8"/>
      <c r="D9" s="8"/>
      <c r="E9" s="8"/>
      <c r="F9" s="8"/>
      <c r="G9" s="183"/>
      <c r="H9" s="17"/>
      <c r="I9" s="15">
        <f t="shared" si="0"/>
        <v>0</v>
      </c>
    </row>
    <row r="10" spans="2:11" x14ac:dyDescent="0.2">
      <c r="B10" s="5"/>
      <c r="C10" s="8"/>
      <c r="D10" s="8"/>
      <c r="E10" s="8"/>
      <c r="F10" s="8"/>
      <c r="G10" s="183"/>
      <c r="H10" s="17"/>
      <c r="I10" s="15">
        <f t="shared" si="0"/>
        <v>0</v>
      </c>
    </row>
    <row r="11" spans="2:11" x14ac:dyDescent="0.2">
      <c r="B11" s="3"/>
      <c r="C11" s="4"/>
      <c r="D11" s="203"/>
      <c r="E11" s="201"/>
      <c r="F11" s="184" t="s">
        <v>375</v>
      </c>
      <c r="G11" s="194">
        <f>SUM(G6:G10)</f>
        <v>0</v>
      </c>
      <c r="H11" s="197" t="s">
        <v>361</v>
      </c>
      <c r="I11" s="16">
        <f>SUM(I6:I10)</f>
        <v>0</v>
      </c>
    </row>
    <row r="12" spans="2:11" x14ac:dyDescent="0.2">
      <c r="B12" s="4"/>
      <c r="C12" s="4"/>
      <c r="D12" s="201"/>
      <c r="E12" s="2"/>
      <c r="F12" s="198" t="s">
        <v>377</v>
      </c>
      <c r="G12" s="205">
        <v>1395</v>
      </c>
      <c r="H12" s="5"/>
      <c r="I12" s="5"/>
    </row>
    <row r="13" spans="2:11" x14ac:dyDescent="0.2">
      <c r="B13" s="4"/>
      <c r="C13" s="4"/>
      <c r="D13" s="4"/>
      <c r="E13" s="4"/>
      <c r="F13" s="4"/>
      <c r="G13" s="4"/>
      <c r="H13" s="5"/>
      <c r="I13" s="5"/>
    </row>
    <row r="14" spans="2:11" x14ac:dyDescent="0.2">
      <c r="B14" s="6" t="s">
        <v>391</v>
      </c>
      <c r="C14" s="13"/>
      <c r="D14" s="13"/>
      <c r="E14" s="13"/>
      <c r="F14" s="13"/>
      <c r="G14" s="183"/>
      <c r="H14" s="17"/>
      <c r="I14" s="15">
        <f>G14*H14</f>
        <v>0</v>
      </c>
    </row>
    <row r="15" spans="2:11" x14ac:dyDescent="0.2">
      <c r="B15" s="5"/>
      <c r="C15" s="8"/>
      <c r="D15" s="8"/>
      <c r="E15" s="8"/>
      <c r="F15" s="8"/>
      <c r="G15" s="183"/>
      <c r="H15" s="17"/>
      <c r="I15" s="15">
        <f t="shared" ref="I15:I18" si="1">G15*H15</f>
        <v>0</v>
      </c>
    </row>
    <row r="16" spans="2:11" x14ac:dyDescent="0.2">
      <c r="B16" s="5"/>
      <c r="C16" s="8"/>
      <c r="D16" s="8"/>
      <c r="E16" s="8"/>
      <c r="F16" s="8"/>
      <c r="G16" s="183"/>
      <c r="H16" s="17"/>
      <c r="I16" s="15">
        <f t="shared" si="1"/>
        <v>0</v>
      </c>
    </row>
    <row r="17" spans="2:12" x14ac:dyDescent="0.2">
      <c r="B17" s="5"/>
      <c r="C17" s="8"/>
      <c r="D17" s="8"/>
      <c r="E17" s="8"/>
      <c r="F17" s="8"/>
      <c r="G17" s="183"/>
      <c r="H17" s="17"/>
      <c r="I17" s="15">
        <f t="shared" si="1"/>
        <v>0</v>
      </c>
    </row>
    <row r="18" spans="2:12" x14ac:dyDescent="0.2">
      <c r="B18" s="5"/>
      <c r="C18" s="8"/>
      <c r="D18" s="8"/>
      <c r="E18" s="8"/>
      <c r="F18" s="8"/>
      <c r="G18" s="183"/>
      <c r="H18" s="17"/>
      <c r="I18" s="15">
        <f t="shared" si="1"/>
        <v>0</v>
      </c>
    </row>
    <row r="19" spans="2:12" x14ac:dyDescent="0.2">
      <c r="B19" s="5"/>
      <c r="C19" s="3"/>
      <c r="D19" s="203"/>
      <c r="E19" s="12"/>
      <c r="F19" s="184" t="s">
        <v>379</v>
      </c>
      <c r="G19" s="194">
        <f>SUM(G14:G18)</f>
        <v>0</v>
      </c>
      <c r="H19" s="197" t="s">
        <v>362</v>
      </c>
      <c r="I19" s="16">
        <f>SUM(I14:I18)</f>
        <v>0</v>
      </c>
    </row>
    <row r="20" spans="2:12" x14ac:dyDescent="0.2">
      <c r="B20" s="3"/>
      <c r="C20" s="4"/>
      <c r="D20" s="201"/>
      <c r="E20" s="2"/>
      <c r="F20" s="10" t="s">
        <v>376</v>
      </c>
      <c r="G20" s="205">
        <v>1488</v>
      </c>
      <c r="H20" s="5"/>
      <c r="I20" s="5"/>
    </row>
    <row r="21" spans="2:12" x14ac:dyDescent="0.2">
      <c r="B21" s="5"/>
      <c r="C21" s="5"/>
      <c r="D21" s="4"/>
      <c r="E21" s="4"/>
      <c r="F21" s="4"/>
      <c r="G21" s="5"/>
      <c r="H21" s="5"/>
      <c r="I21" s="5"/>
    </row>
    <row r="22" spans="2:12" x14ac:dyDescent="0.2">
      <c r="L22" s="215"/>
    </row>
    <row r="23" spans="2:12" x14ac:dyDescent="0.2">
      <c r="B23" s="242"/>
      <c r="C23" s="242"/>
      <c r="F23" s="195"/>
      <c r="G23" s="195"/>
      <c r="H23" s="10" t="s">
        <v>5</v>
      </c>
      <c r="I23" s="19">
        <f>I11+I19</f>
        <v>0</v>
      </c>
    </row>
  </sheetData>
  <mergeCells count="2">
    <mergeCell ref="B23:C23"/>
    <mergeCell ref="B3:H3"/>
  </mergeCells>
  <printOptions horizontalCentered="1"/>
  <pageMargins left="0.25" right="0.25" top="0.75" bottom="0.5" header="0.5" footer="0.5"/>
  <pageSetup orientation="landscape" r:id="rId1"/>
  <headerFooter alignWithMargins="0">
    <oddHeader>&amp;R&amp;A&amp;C&amp;"Courier"&amp;12UNCLASSIFIED</oddHeader>
    <oddFooter>&amp;C&amp;"Courier"&amp;12UNCLASSIFIED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83EF-C655-4837-9B14-1C4970701B0B}">
  <dimension ref="B2:I86"/>
  <sheetViews>
    <sheetView zoomScaleNormal="100" workbookViewId="0">
      <selection activeCell="D86" sqref="D86"/>
    </sheetView>
  </sheetViews>
  <sheetFormatPr defaultRowHeight="15" x14ac:dyDescent="0.25"/>
  <cols>
    <col min="2" max="2" width="12.5703125" bestFit="1" customWidth="1"/>
    <col min="3" max="3" width="97.140625" customWidth="1"/>
    <col min="4" max="4" width="22.140625" customWidth="1"/>
    <col min="5" max="5" width="15.140625" customWidth="1"/>
    <col min="6" max="6" width="23.85546875" customWidth="1"/>
    <col min="7" max="7" width="3" customWidth="1"/>
    <col min="9" max="9" width="15.140625" customWidth="1"/>
    <col min="12" max="12" width="39.85546875" customWidth="1"/>
  </cols>
  <sheetData>
    <row r="2" spans="2:9" x14ac:dyDescent="0.25">
      <c r="C2" s="139" t="s">
        <v>222</v>
      </c>
      <c r="D2" s="140"/>
    </row>
    <row r="3" spans="2:9" x14ac:dyDescent="0.25">
      <c r="C3" s="141" t="s">
        <v>223</v>
      </c>
      <c r="D3" s="140"/>
    </row>
    <row r="4" spans="2:9" ht="15.75" thickBot="1" x14ac:dyDescent="0.3"/>
    <row r="5" spans="2:9" ht="21.75" thickBot="1" x14ac:dyDescent="0.4">
      <c r="B5" s="246"/>
      <c r="C5" s="247"/>
      <c r="D5" s="247"/>
      <c r="E5" s="247"/>
      <c r="F5" s="248"/>
    </row>
    <row r="6" spans="2:9" ht="27" customHeight="1" thickBot="1" x14ac:dyDescent="0.3">
      <c r="B6" s="249" t="s">
        <v>224</v>
      </c>
      <c r="C6" s="250"/>
      <c r="D6" s="250"/>
      <c r="E6" s="250"/>
      <c r="F6" s="251"/>
    </row>
    <row r="7" spans="2:9" ht="29.45" customHeight="1" thickBot="1" x14ac:dyDescent="0.3">
      <c r="B7" s="142" t="s">
        <v>225</v>
      </c>
      <c r="C7" s="142" t="s">
        <v>226</v>
      </c>
      <c r="D7" s="143" t="s">
        <v>227</v>
      </c>
      <c r="E7" s="167" t="s">
        <v>228</v>
      </c>
      <c r="F7" s="144" t="s">
        <v>229</v>
      </c>
      <c r="I7" s="211" t="s">
        <v>417</v>
      </c>
    </row>
    <row r="8" spans="2:9" ht="15.75" thickBot="1" x14ac:dyDescent="0.3">
      <c r="B8" s="148" t="s">
        <v>230</v>
      </c>
      <c r="C8" s="149" t="s">
        <v>231</v>
      </c>
      <c r="D8" s="212">
        <f>'Tab 6 TO1 CLIN X001'!I11</f>
        <v>0</v>
      </c>
      <c r="E8" s="151" t="s">
        <v>441</v>
      </c>
      <c r="F8" s="252" t="s">
        <v>233</v>
      </c>
      <c r="I8" s="210" t="s">
        <v>421</v>
      </c>
    </row>
    <row r="9" spans="2:9" ht="15.75" thickBot="1" x14ac:dyDescent="0.3">
      <c r="B9" s="148">
        <v>1001</v>
      </c>
      <c r="C9" s="149" t="s">
        <v>234</v>
      </c>
      <c r="D9" s="212">
        <f>'Tab 6 TO1 CLIN X001'!I18</f>
        <v>0</v>
      </c>
      <c r="E9" s="151" t="s">
        <v>232</v>
      </c>
      <c r="F9" s="253"/>
      <c r="I9" s="195" t="s">
        <v>421</v>
      </c>
    </row>
    <row r="10" spans="2:9" ht="15.75" thickBot="1" x14ac:dyDescent="0.3">
      <c r="B10" s="148">
        <v>2001</v>
      </c>
      <c r="C10" s="149" t="s">
        <v>235</v>
      </c>
      <c r="D10" s="212">
        <f>'Tab 6 TO1 CLIN X001'!I25</f>
        <v>0</v>
      </c>
      <c r="E10" s="151" t="s">
        <v>232</v>
      </c>
      <c r="F10" s="253"/>
      <c r="I10" s="11" t="s">
        <v>422</v>
      </c>
    </row>
    <row r="11" spans="2:9" ht="15.75" thickBot="1" x14ac:dyDescent="0.3">
      <c r="B11" s="148">
        <v>3001</v>
      </c>
      <c r="C11" s="149" t="s">
        <v>236</v>
      </c>
      <c r="D11" s="212">
        <f>'Tab 6 TO1 CLIN X001'!I32</f>
        <v>0</v>
      </c>
      <c r="E11" s="151" t="s">
        <v>232</v>
      </c>
      <c r="F11" s="253"/>
    </row>
    <row r="12" spans="2:9" ht="15.75" thickBot="1" x14ac:dyDescent="0.3">
      <c r="B12" s="148">
        <v>4001</v>
      </c>
      <c r="C12" s="149" t="s">
        <v>237</v>
      </c>
      <c r="D12" s="212">
        <f>'Tab 6 TO1 CLIN X001'!I39</f>
        <v>0</v>
      </c>
      <c r="E12" s="151" t="s">
        <v>232</v>
      </c>
      <c r="F12" s="253"/>
    </row>
    <row r="13" spans="2:9" ht="15.75" thickBot="1" x14ac:dyDescent="0.3">
      <c r="B13" s="148" t="s">
        <v>238</v>
      </c>
      <c r="C13" s="149" t="s">
        <v>239</v>
      </c>
      <c r="D13" s="212">
        <f>'Tab 7 TO1 SUBCLIN X001AF'!I11</f>
        <v>0</v>
      </c>
      <c r="E13" s="151" t="s">
        <v>442</v>
      </c>
      <c r="F13" s="253"/>
    </row>
    <row r="14" spans="2:9" ht="8.4499999999999993" customHeight="1" thickBot="1" x14ac:dyDescent="0.3">
      <c r="B14" s="243"/>
      <c r="C14" s="244"/>
      <c r="D14" s="244"/>
      <c r="E14" s="244"/>
      <c r="F14" s="245"/>
    </row>
    <row r="15" spans="2:9" ht="15.75" customHeight="1" thickBot="1" x14ac:dyDescent="0.3">
      <c r="B15" s="148" t="s">
        <v>240</v>
      </c>
      <c r="C15" s="149" t="s">
        <v>241</v>
      </c>
      <c r="D15" s="212">
        <f>'Tab 8 TO1 CLIN X002'!I11</f>
        <v>0</v>
      </c>
      <c r="E15" s="151" t="s">
        <v>441</v>
      </c>
      <c r="F15" s="254" t="s">
        <v>242</v>
      </c>
    </row>
    <row r="16" spans="2:9" ht="15.75" customHeight="1" thickBot="1" x14ac:dyDescent="0.3">
      <c r="B16" s="148">
        <v>1002</v>
      </c>
      <c r="C16" s="149" t="s">
        <v>243</v>
      </c>
      <c r="D16" s="212">
        <f>'Tab 8 TO1 CLIN X002'!I19</f>
        <v>0</v>
      </c>
      <c r="E16" s="151" t="s">
        <v>232</v>
      </c>
      <c r="F16" s="255"/>
    </row>
    <row r="17" spans="2:6" ht="15.75" customHeight="1" thickBot="1" x14ac:dyDescent="0.3">
      <c r="B17" s="148">
        <v>2002</v>
      </c>
      <c r="C17" s="149" t="s">
        <v>443</v>
      </c>
      <c r="D17" s="212">
        <f>'Tab 8 TO1 CLIN X002'!I27</f>
        <v>0</v>
      </c>
      <c r="E17" s="151" t="s">
        <v>232</v>
      </c>
      <c r="F17" s="255"/>
    </row>
    <row r="18" spans="2:6" ht="15.75" customHeight="1" thickBot="1" x14ac:dyDescent="0.3">
      <c r="B18" s="148">
        <v>3002</v>
      </c>
      <c r="C18" s="149" t="s">
        <v>244</v>
      </c>
      <c r="D18" s="212">
        <f>'Tab 8 TO1 CLIN X002'!I35</f>
        <v>0</v>
      </c>
      <c r="E18" s="151" t="s">
        <v>232</v>
      </c>
      <c r="F18" s="255"/>
    </row>
    <row r="19" spans="2:6" ht="15.75" customHeight="1" thickBot="1" x14ac:dyDescent="0.3">
      <c r="B19" s="148">
        <v>4002</v>
      </c>
      <c r="C19" s="149" t="s">
        <v>245</v>
      </c>
      <c r="D19" s="212">
        <f>'Tab 8 TO1 CLIN X002'!I43</f>
        <v>0</v>
      </c>
      <c r="E19" s="151" t="s">
        <v>232</v>
      </c>
      <c r="F19" s="256"/>
    </row>
    <row r="20" spans="2:6" ht="6" customHeight="1" thickBot="1" x14ac:dyDescent="0.3">
      <c r="B20" s="243"/>
      <c r="C20" s="244"/>
      <c r="D20" s="244"/>
      <c r="E20" s="244"/>
      <c r="F20" s="245"/>
    </row>
    <row r="21" spans="2:6" ht="15.75" thickBot="1" x14ac:dyDescent="0.3">
      <c r="B21" s="148" t="s">
        <v>246</v>
      </c>
      <c r="C21" s="149" t="s">
        <v>247</v>
      </c>
      <c r="D21" s="212">
        <f>'Tab 9 O1 SUBCLIN X003AA'!I11</f>
        <v>0</v>
      </c>
      <c r="E21" s="151" t="s">
        <v>441</v>
      </c>
      <c r="F21" s="254" t="s">
        <v>248</v>
      </c>
    </row>
    <row r="22" spans="2:6" ht="15.75" thickBot="1" x14ac:dyDescent="0.3">
      <c r="B22" s="148" t="s">
        <v>249</v>
      </c>
      <c r="C22" s="149" t="s">
        <v>250</v>
      </c>
      <c r="D22" s="212">
        <f>'Tab 9 O1 SUBCLIN X003AA'!I18</f>
        <v>0</v>
      </c>
      <c r="E22" s="151" t="s">
        <v>232</v>
      </c>
      <c r="F22" s="255"/>
    </row>
    <row r="23" spans="2:6" ht="15.75" thickBot="1" x14ac:dyDescent="0.3">
      <c r="B23" s="148" t="s">
        <v>251</v>
      </c>
      <c r="C23" s="149" t="s">
        <v>252</v>
      </c>
      <c r="D23" s="212">
        <f>'Tab 9 O1 SUBCLIN X003AA'!I25</f>
        <v>0</v>
      </c>
      <c r="E23" s="151" t="s">
        <v>232</v>
      </c>
      <c r="F23" s="255"/>
    </row>
    <row r="24" spans="2:6" ht="15.75" thickBot="1" x14ac:dyDescent="0.3">
      <c r="B24" s="148" t="s">
        <v>253</v>
      </c>
      <c r="C24" s="149" t="s">
        <v>254</v>
      </c>
      <c r="D24" s="212">
        <f>'Tab 9 O1 SUBCLIN X003AA'!I32</f>
        <v>0</v>
      </c>
      <c r="E24" s="151" t="s">
        <v>232</v>
      </c>
      <c r="F24" s="255"/>
    </row>
    <row r="25" spans="2:6" ht="15.75" thickBot="1" x14ac:dyDescent="0.3">
      <c r="B25" s="148" t="s">
        <v>255</v>
      </c>
      <c r="C25" s="149" t="s">
        <v>256</v>
      </c>
      <c r="D25" s="212">
        <f>'Tab 9 O1 SUBCLIN X003AA'!I39</f>
        <v>0</v>
      </c>
      <c r="E25" s="151" t="s">
        <v>232</v>
      </c>
      <c r="F25" s="256"/>
    </row>
    <row r="26" spans="2:6" ht="6" customHeight="1" thickBot="1" x14ac:dyDescent="0.3">
      <c r="B26" s="243"/>
      <c r="C26" s="244"/>
      <c r="D26" s="244"/>
      <c r="E26" s="244"/>
      <c r="F26" s="245"/>
    </row>
    <row r="27" spans="2:6" ht="15.75" thickBot="1" x14ac:dyDescent="0.3">
      <c r="B27" s="148" t="s">
        <v>257</v>
      </c>
      <c r="C27" s="149" t="s">
        <v>258</v>
      </c>
      <c r="D27" s="212">
        <f>'Tab 10 TO1 SUBCLIN X003AB'!I11</f>
        <v>0</v>
      </c>
      <c r="E27" s="151" t="s">
        <v>441</v>
      </c>
      <c r="F27" s="254" t="s">
        <v>259</v>
      </c>
    </row>
    <row r="28" spans="2:6" ht="15.75" thickBot="1" x14ac:dyDescent="0.3">
      <c r="B28" s="148" t="s">
        <v>260</v>
      </c>
      <c r="C28" s="149" t="s">
        <v>261</v>
      </c>
      <c r="D28" s="212">
        <f>'Tab 10 TO1 SUBCLIN X003AB'!I18</f>
        <v>0</v>
      </c>
      <c r="E28" s="151" t="s">
        <v>232</v>
      </c>
      <c r="F28" s="255"/>
    </row>
    <row r="29" spans="2:6" ht="15.75" thickBot="1" x14ac:dyDescent="0.3">
      <c r="B29" s="148" t="s">
        <v>262</v>
      </c>
      <c r="C29" s="149" t="s">
        <v>263</v>
      </c>
      <c r="D29" s="212">
        <f>'Tab 10 TO1 SUBCLIN X003AB'!I25</f>
        <v>0</v>
      </c>
      <c r="E29" s="151" t="s">
        <v>232</v>
      </c>
      <c r="F29" s="255"/>
    </row>
    <row r="30" spans="2:6" ht="15.75" thickBot="1" x14ac:dyDescent="0.3">
      <c r="B30" s="148" t="s">
        <v>264</v>
      </c>
      <c r="C30" s="149" t="s">
        <v>265</v>
      </c>
      <c r="D30" s="212">
        <f>'Tab 10 TO1 SUBCLIN X003AB'!I32</f>
        <v>0</v>
      </c>
      <c r="E30" s="151" t="s">
        <v>232</v>
      </c>
      <c r="F30" s="255"/>
    </row>
    <row r="31" spans="2:6" ht="15.75" thickBot="1" x14ac:dyDescent="0.3">
      <c r="B31" s="148" t="s">
        <v>266</v>
      </c>
      <c r="C31" s="149" t="s">
        <v>267</v>
      </c>
      <c r="D31" s="212">
        <f>'Tab 10 TO1 SUBCLIN X003AB'!I39</f>
        <v>0</v>
      </c>
      <c r="E31" s="151" t="s">
        <v>232</v>
      </c>
      <c r="F31" s="256"/>
    </row>
    <row r="32" spans="2:6" ht="6" customHeight="1" thickBot="1" x14ac:dyDescent="0.3">
      <c r="B32" s="243"/>
      <c r="C32" s="244"/>
      <c r="D32" s="244"/>
      <c r="E32" s="244"/>
      <c r="F32" s="245"/>
    </row>
    <row r="33" spans="2:6" ht="15.75" thickBot="1" x14ac:dyDescent="0.3">
      <c r="B33" s="148" t="s">
        <v>268</v>
      </c>
      <c r="C33" s="149" t="s">
        <v>269</v>
      </c>
      <c r="D33" s="212">
        <f>'Tab 11 TO1 SUBCLIN X003AC'!I11</f>
        <v>0</v>
      </c>
      <c r="E33" s="151" t="s">
        <v>441</v>
      </c>
      <c r="F33" s="254" t="s">
        <v>270</v>
      </c>
    </row>
    <row r="34" spans="2:6" ht="15.75" thickBot="1" x14ac:dyDescent="0.3">
      <c r="B34" s="148" t="s">
        <v>271</v>
      </c>
      <c r="C34" s="149" t="s">
        <v>272</v>
      </c>
      <c r="D34" s="212">
        <f>'Tab 11 TO1 SUBCLIN X003AC'!I19</f>
        <v>0</v>
      </c>
      <c r="E34" s="151" t="s">
        <v>232</v>
      </c>
      <c r="F34" s="255"/>
    </row>
    <row r="35" spans="2:6" ht="15.75" thickBot="1" x14ac:dyDescent="0.3">
      <c r="B35" s="148" t="s">
        <v>273</v>
      </c>
      <c r="C35" s="149" t="s">
        <v>274</v>
      </c>
      <c r="D35" s="212">
        <f>'Tab 11 TO1 SUBCLIN X003AC'!I27</f>
        <v>0</v>
      </c>
      <c r="E35" s="151" t="s">
        <v>232</v>
      </c>
      <c r="F35" s="255"/>
    </row>
    <row r="36" spans="2:6" ht="15.75" thickBot="1" x14ac:dyDescent="0.3">
      <c r="B36" s="148" t="s">
        <v>275</v>
      </c>
      <c r="C36" s="149" t="s">
        <v>276</v>
      </c>
      <c r="D36" s="212">
        <f>'Tab 11 TO1 SUBCLIN X003AC'!I35</f>
        <v>0</v>
      </c>
      <c r="E36" s="151" t="s">
        <v>232</v>
      </c>
      <c r="F36" s="255"/>
    </row>
    <row r="37" spans="2:6" ht="15.75" thickBot="1" x14ac:dyDescent="0.3">
      <c r="B37" s="148" t="s">
        <v>277</v>
      </c>
      <c r="C37" s="149" t="s">
        <v>278</v>
      </c>
      <c r="D37" s="212">
        <f>'Tab 11 TO1 SUBCLIN X003AC'!I43</f>
        <v>0</v>
      </c>
      <c r="E37" s="151" t="s">
        <v>232</v>
      </c>
      <c r="F37" s="256"/>
    </row>
    <row r="38" spans="2:6" ht="6" customHeight="1" thickBot="1" x14ac:dyDescent="0.3">
      <c r="B38" s="243"/>
      <c r="C38" s="244"/>
      <c r="D38" s="244"/>
      <c r="E38" s="244"/>
      <c r="F38" s="245"/>
    </row>
    <row r="39" spans="2:6" ht="15.75" thickBot="1" x14ac:dyDescent="0.3">
      <c r="B39" s="148" t="s">
        <v>279</v>
      </c>
      <c r="C39" s="149" t="s">
        <v>280</v>
      </c>
      <c r="D39" s="212">
        <f>'Tab 12 TO1 CLIN X004'!I11</f>
        <v>0</v>
      </c>
      <c r="E39" s="151" t="s">
        <v>441</v>
      </c>
      <c r="F39" s="254" t="s">
        <v>281</v>
      </c>
    </row>
    <row r="40" spans="2:6" ht="15.75" thickBot="1" x14ac:dyDescent="0.3">
      <c r="B40" s="148" t="s">
        <v>282</v>
      </c>
      <c r="C40" s="149" t="s">
        <v>283</v>
      </c>
      <c r="D40" s="212">
        <f>'Tab 12 TO1 CLIN X004'!I19</f>
        <v>0</v>
      </c>
      <c r="E40" s="151" t="s">
        <v>232</v>
      </c>
      <c r="F40" s="255"/>
    </row>
    <row r="41" spans="2:6" ht="15.75" thickBot="1" x14ac:dyDescent="0.3">
      <c r="B41" s="148" t="s">
        <v>284</v>
      </c>
      <c r="C41" s="149" t="s">
        <v>285</v>
      </c>
      <c r="D41" s="212">
        <f>'Tab 12 TO1 CLIN X004'!I27</f>
        <v>0</v>
      </c>
      <c r="E41" s="151" t="s">
        <v>232</v>
      </c>
      <c r="F41" s="255"/>
    </row>
    <row r="42" spans="2:6" ht="15.75" thickBot="1" x14ac:dyDescent="0.3">
      <c r="B42" s="148" t="s">
        <v>286</v>
      </c>
      <c r="C42" s="149" t="s">
        <v>287</v>
      </c>
      <c r="D42" s="212">
        <f>'Tab 12 TO1 CLIN X004'!I35</f>
        <v>0</v>
      </c>
      <c r="E42" s="151" t="s">
        <v>232</v>
      </c>
      <c r="F42" s="255"/>
    </row>
    <row r="43" spans="2:6" ht="18" customHeight="1" thickBot="1" x14ac:dyDescent="0.3">
      <c r="B43" s="152" t="s">
        <v>288</v>
      </c>
      <c r="C43" s="153" t="s">
        <v>289</v>
      </c>
      <c r="D43" s="213">
        <f>'Tab 12 TO1 CLIN X004'!I43</f>
        <v>0</v>
      </c>
      <c r="E43" s="151" t="s">
        <v>232</v>
      </c>
      <c r="F43" s="256"/>
    </row>
    <row r="44" spans="2:6" ht="6" customHeight="1" thickBot="1" x14ac:dyDescent="0.3">
      <c r="B44" s="243"/>
      <c r="C44" s="244"/>
      <c r="D44" s="244"/>
      <c r="E44" s="244"/>
      <c r="F44" s="245"/>
    </row>
    <row r="45" spans="2:6" ht="18" customHeight="1" thickBot="1" x14ac:dyDescent="0.3">
      <c r="B45" s="155" t="s">
        <v>290</v>
      </c>
      <c r="C45" s="156" t="s">
        <v>291</v>
      </c>
      <c r="D45" s="213">
        <f>'Tab 13 TO1 CLIN X005'!I11</f>
        <v>0</v>
      </c>
      <c r="E45" s="151" t="s">
        <v>441</v>
      </c>
      <c r="F45" s="254" t="s">
        <v>292</v>
      </c>
    </row>
    <row r="46" spans="2:6" ht="18" customHeight="1" thickBot="1" x14ac:dyDescent="0.3">
      <c r="B46" s="155" t="s">
        <v>293</v>
      </c>
      <c r="C46" s="156" t="s">
        <v>294</v>
      </c>
      <c r="D46" s="213">
        <f>'Tab 13 TO1 CLIN X005'!I19</f>
        <v>0</v>
      </c>
      <c r="E46" s="151" t="s">
        <v>232</v>
      </c>
      <c r="F46" s="255"/>
    </row>
    <row r="47" spans="2:6" ht="6" customHeight="1" thickBot="1" x14ac:dyDescent="0.3">
      <c r="B47" s="243"/>
      <c r="C47" s="244"/>
      <c r="D47" s="244"/>
      <c r="E47" s="244"/>
      <c r="F47" s="245"/>
    </row>
    <row r="48" spans="2:6" ht="15.75" thickBot="1" x14ac:dyDescent="0.3">
      <c r="B48" s="148" t="s">
        <v>295</v>
      </c>
      <c r="C48" s="149" t="s">
        <v>296</v>
      </c>
      <c r="D48" s="212">
        <v>29999</v>
      </c>
      <c r="E48" s="151" t="s">
        <v>232</v>
      </c>
      <c r="F48" s="258" t="s">
        <v>299</v>
      </c>
    </row>
    <row r="49" spans="2:6" ht="17.100000000000001" customHeight="1" thickBot="1" x14ac:dyDescent="0.3">
      <c r="B49" s="148" t="s">
        <v>297</v>
      </c>
      <c r="C49" s="149" t="s">
        <v>298</v>
      </c>
      <c r="D49" s="212">
        <v>30598.98</v>
      </c>
      <c r="E49" s="151" t="s">
        <v>232</v>
      </c>
      <c r="F49" s="259"/>
    </row>
    <row r="50" spans="2:6" ht="15.75" thickBot="1" x14ac:dyDescent="0.3">
      <c r="B50" s="148" t="s">
        <v>300</v>
      </c>
      <c r="C50" s="149" t="s">
        <v>301</v>
      </c>
      <c r="D50" s="212">
        <v>31210.959599999998</v>
      </c>
      <c r="E50" s="151" t="s">
        <v>232</v>
      </c>
      <c r="F50" s="259"/>
    </row>
    <row r="51" spans="2:6" ht="19.350000000000001" customHeight="1" thickBot="1" x14ac:dyDescent="0.3">
      <c r="B51" s="148" t="s">
        <v>302</v>
      </c>
      <c r="C51" s="149" t="s">
        <v>303</v>
      </c>
      <c r="D51" s="212">
        <v>31835.178791999999</v>
      </c>
      <c r="E51" s="151" t="s">
        <v>232</v>
      </c>
      <c r="F51" s="259"/>
    </row>
    <row r="52" spans="2:6" ht="15.75" thickBot="1" x14ac:dyDescent="0.3">
      <c r="B52" s="152" t="s">
        <v>304</v>
      </c>
      <c r="C52" s="153" t="s">
        <v>305</v>
      </c>
      <c r="D52" s="213">
        <v>32471.88236784</v>
      </c>
      <c r="E52" s="151" t="s">
        <v>232</v>
      </c>
      <c r="F52" s="259"/>
    </row>
    <row r="53" spans="2:6" ht="6" customHeight="1" thickBot="1" x14ac:dyDescent="0.3">
      <c r="B53" s="243"/>
      <c r="C53" s="244"/>
      <c r="D53" s="244"/>
      <c r="E53" s="245"/>
      <c r="F53" s="259"/>
    </row>
    <row r="54" spans="2:6" ht="15.75" thickBot="1" x14ac:dyDescent="0.3">
      <c r="B54" s="148" t="s">
        <v>306</v>
      </c>
      <c r="C54" s="149" t="s">
        <v>307</v>
      </c>
      <c r="D54" s="157">
        <v>336902.66666666669</v>
      </c>
      <c r="E54" s="151" t="s">
        <v>232</v>
      </c>
      <c r="F54" s="259"/>
    </row>
    <row r="55" spans="2:6" ht="15.75" thickBot="1" x14ac:dyDescent="0.3">
      <c r="B55" s="148" t="s">
        <v>308</v>
      </c>
      <c r="C55" s="149" t="s">
        <v>309</v>
      </c>
      <c r="D55" s="150">
        <v>343640.72000000003</v>
      </c>
      <c r="E55" s="151" t="s">
        <v>232</v>
      </c>
      <c r="F55" s="259"/>
    </row>
    <row r="56" spans="2:6" ht="15.75" thickBot="1" x14ac:dyDescent="0.3">
      <c r="B56" s="148" t="s">
        <v>310</v>
      </c>
      <c r="C56" s="149" t="s">
        <v>311</v>
      </c>
      <c r="D56" s="150">
        <v>350513.5344</v>
      </c>
      <c r="E56" s="151" t="s">
        <v>232</v>
      </c>
      <c r="F56" s="259"/>
    </row>
    <row r="57" spans="2:6" ht="15.75" thickBot="1" x14ac:dyDescent="0.3">
      <c r="B57" s="148" t="s">
        <v>312</v>
      </c>
      <c r="C57" s="149" t="s">
        <v>313</v>
      </c>
      <c r="D57" s="150">
        <v>357523.80508800002</v>
      </c>
      <c r="E57" s="151" t="s">
        <v>232</v>
      </c>
      <c r="F57" s="259"/>
    </row>
    <row r="58" spans="2:6" ht="15.75" thickBot="1" x14ac:dyDescent="0.3">
      <c r="B58" s="152" t="s">
        <v>314</v>
      </c>
      <c r="C58" s="153" t="s">
        <v>315</v>
      </c>
      <c r="D58" s="154">
        <v>364674.28118976002</v>
      </c>
      <c r="E58" s="151" t="s">
        <v>232</v>
      </c>
      <c r="F58" s="259"/>
    </row>
    <row r="59" spans="2:6" ht="6" customHeight="1" thickBot="1" x14ac:dyDescent="0.3">
      <c r="B59" s="243"/>
      <c r="C59" s="244"/>
      <c r="D59" s="244"/>
      <c r="E59" s="245"/>
      <c r="F59" s="259"/>
    </row>
    <row r="60" spans="2:6" ht="15" customHeight="1" thickBot="1" x14ac:dyDescent="0.3">
      <c r="B60" s="148" t="s">
        <v>316</v>
      </c>
      <c r="C60" s="149" t="s">
        <v>317</v>
      </c>
      <c r="D60" s="157">
        <v>126683.66666666667</v>
      </c>
      <c r="E60" s="151" t="s">
        <v>232</v>
      </c>
      <c r="F60" s="259"/>
    </row>
    <row r="61" spans="2:6" ht="15.75" thickBot="1" x14ac:dyDescent="0.3">
      <c r="B61" s="148" t="s">
        <v>318</v>
      </c>
      <c r="C61" s="149" t="s">
        <v>319</v>
      </c>
      <c r="D61" s="150">
        <v>129217.34000000001</v>
      </c>
      <c r="E61" s="151" t="s">
        <v>232</v>
      </c>
      <c r="F61" s="259"/>
    </row>
    <row r="62" spans="2:6" ht="15.75" thickBot="1" x14ac:dyDescent="0.3">
      <c r="B62" s="148" t="s">
        <v>320</v>
      </c>
      <c r="C62" s="149" t="s">
        <v>321</v>
      </c>
      <c r="D62" s="150">
        <v>131801.68680000002</v>
      </c>
      <c r="E62" s="151" t="s">
        <v>232</v>
      </c>
      <c r="F62" s="259"/>
    </row>
    <row r="63" spans="2:6" ht="15.75" thickBot="1" x14ac:dyDescent="0.3">
      <c r="B63" s="148" t="s">
        <v>322</v>
      </c>
      <c r="C63" s="149" t="s">
        <v>323</v>
      </c>
      <c r="D63" s="150">
        <v>134437.72053600004</v>
      </c>
      <c r="E63" s="151" t="s">
        <v>232</v>
      </c>
      <c r="F63" s="259"/>
    </row>
    <row r="64" spans="2:6" ht="15.75" thickBot="1" x14ac:dyDescent="0.3">
      <c r="B64" s="152" t="s">
        <v>324</v>
      </c>
      <c r="C64" s="153" t="s">
        <v>325</v>
      </c>
      <c r="D64" s="154">
        <v>137126.47494672003</v>
      </c>
      <c r="E64" s="151" t="s">
        <v>232</v>
      </c>
      <c r="F64" s="259"/>
    </row>
    <row r="65" spans="2:6" ht="6" customHeight="1" thickBot="1" x14ac:dyDescent="0.3">
      <c r="B65" s="243"/>
      <c r="C65" s="244"/>
      <c r="D65" s="244"/>
      <c r="E65" s="245"/>
      <c r="F65" s="259"/>
    </row>
    <row r="66" spans="2:6" ht="15.75" thickBot="1" x14ac:dyDescent="0.3">
      <c r="B66" s="148" t="s">
        <v>326</v>
      </c>
      <c r="C66" s="149" t="s">
        <v>327</v>
      </c>
      <c r="D66" s="157">
        <v>347872</v>
      </c>
      <c r="E66" s="151" t="s">
        <v>232</v>
      </c>
      <c r="F66" s="259"/>
    </row>
    <row r="67" spans="2:6" ht="15.75" thickBot="1" x14ac:dyDescent="0.3">
      <c r="B67" s="148" t="s">
        <v>328</v>
      </c>
      <c r="C67" s="149" t="s">
        <v>329</v>
      </c>
      <c r="D67" s="150">
        <v>354829.44</v>
      </c>
      <c r="E67" s="151" t="s">
        <v>232</v>
      </c>
      <c r="F67" s="259"/>
    </row>
    <row r="68" spans="2:6" ht="15.75" thickBot="1" x14ac:dyDescent="0.3">
      <c r="B68" s="148" t="s">
        <v>330</v>
      </c>
      <c r="C68" s="149" t="s">
        <v>331</v>
      </c>
      <c r="D68" s="150">
        <v>361926.02880000003</v>
      </c>
      <c r="E68" s="151" t="s">
        <v>232</v>
      </c>
      <c r="F68" s="259"/>
    </row>
    <row r="69" spans="2:6" ht="15.75" thickBot="1" x14ac:dyDescent="0.3">
      <c r="B69" s="148" t="s">
        <v>332</v>
      </c>
      <c r="C69" s="149" t="s">
        <v>333</v>
      </c>
      <c r="D69" s="150">
        <v>369164.54937600001</v>
      </c>
      <c r="E69" s="151" t="s">
        <v>232</v>
      </c>
      <c r="F69" s="259"/>
    </row>
    <row r="70" spans="2:6" ht="15.75" thickBot="1" x14ac:dyDescent="0.3">
      <c r="B70" s="152" t="s">
        <v>334</v>
      </c>
      <c r="C70" s="153" t="s">
        <v>335</v>
      </c>
      <c r="D70" s="154">
        <v>376547.84036352002</v>
      </c>
      <c r="E70" s="151" t="s">
        <v>232</v>
      </c>
      <c r="F70" s="260"/>
    </row>
    <row r="71" spans="2:6" ht="18.600000000000001" customHeight="1" thickBot="1" x14ac:dyDescent="0.3">
      <c r="B71" s="145"/>
      <c r="C71" s="158" t="s">
        <v>336</v>
      </c>
      <c r="D71" s="159">
        <f>SUM(D8:D70)</f>
        <v>4378977.7555931741</v>
      </c>
      <c r="E71" s="261"/>
      <c r="F71" s="262"/>
    </row>
    <row r="72" spans="2:6" ht="6.95" customHeight="1" thickBot="1" x14ac:dyDescent="0.3">
      <c r="B72" s="243"/>
      <c r="C72" s="244"/>
      <c r="D72" s="244"/>
      <c r="E72" s="244"/>
      <c r="F72" s="245"/>
    </row>
    <row r="73" spans="2:6" ht="15.75" thickBot="1" x14ac:dyDescent="0.3">
      <c r="B73" s="160" t="s">
        <v>233</v>
      </c>
      <c r="C73" s="149" t="s">
        <v>170</v>
      </c>
      <c r="D73" s="214">
        <f>D12/2</f>
        <v>0</v>
      </c>
      <c r="E73" s="151" t="s">
        <v>337</v>
      </c>
      <c r="F73" s="257" t="s">
        <v>338</v>
      </c>
    </row>
    <row r="74" spans="2:6" ht="15" customHeight="1" thickBot="1" x14ac:dyDescent="0.3">
      <c r="B74" s="161" t="s">
        <v>242</v>
      </c>
      <c r="C74" s="149" t="s">
        <v>190</v>
      </c>
      <c r="D74" s="212">
        <f>D19/2</f>
        <v>0</v>
      </c>
      <c r="E74" s="151" t="s">
        <v>337</v>
      </c>
      <c r="F74" s="257"/>
    </row>
    <row r="75" spans="2:6" ht="15.75" thickBot="1" x14ac:dyDescent="0.3">
      <c r="B75" s="161" t="s">
        <v>248</v>
      </c>
      <c r="C75" s="149" t="s">
        <v>339</v>
      </c>
      <c r="D75" s="212">
        <f>D25/2</f>
        <v>0</v>
      </c>
      <c r="E75" s="162" t="s">
        <v>337</v>
      </c>
      <c r="F75" s="257"/>
    </row>
    <row r="76" spans="2:6" ht="15.75" thickBot="1" x14ac:dyDescent="0.3">
      <c r="B76" s="161" t="s">
        <v>259</v>
      </c>
      <c r="C76" s="149" t="s">
        <v>340</v>
      </c>
      <c r="D76" s="212">
        <f>D31/2</f>
        <v>0</v>
      </c>
      <c r="E76" s="151" t="s">
        <v>337</v>
      </c>
      <c r="F76" s="257"/>
    </row>
    <row r="77" spans="2:6" ht="15.75" thickBot="1" x14ac:dyDescent="0.3">
      <c r="B77" s="161" t="s">
        <v>270</v>
      </c>
      <c r="C77" s="149" t="s">
        <v>198</v>
      </c>
      <c r="D77" s="212">
        <f>D37/2</f>
        <v>0</v>
      </c>
      <c r="E77" s="162" t="s">
        <v>337</v>
      </c>
      <c r="F77" s="257"/>
    </row>
    <row r="78" spans="2:6" ht="15.75" thickBot="1" x14ac:dyDescent="0.3">
      <c r="B78" s="163" t="s">
        <v>281</v>
      </c>
      <c r="C78" s="149" t="s">
        <v>205</v>
      </c>
      <c r="D78" s="212">
        <f>D43/2</f>
        <v>0</v>
      </c>
      <c r="E78" s="162" t="s">
        <v>337</v>
      </c>
      <c r="F78" s="257"/>
    </row>
    <row r="79" spans="2:6" ht="15.75" thickBot="1" x14ac:dyDescent="0.3">
      <c r="B79" s="163" t="s">
        <v>341</v>
      </c>
      <c r="C79" s="149" t="s">
        <v>342</v>
      </c>
      <c r="D79" s="150">
        <f>D52/2</f>
        <v>16235.94118392</v>
      </c>
      <c r="E79" s="151" t="s">
        <v>337</v>
      </c>
      <c r="F79" s="257"/>
    </row>
    <row r="80" spans="2:6" ht="15.75" thickBot="1" x14ac:dyDescent="0.3">
      <c r="B80" s="163" t="s">
        <v>343</v>
      </c>
      <c r="C80" s="149" t="s">
        <v>344</v>
      </c>
      <c r="D80" s="150">
        <f>D58/2</f>
        <v>182337.14059488001</v>
      </c>
      <c r="E80" s="162" t="s">
        <v>337</v>
      </c>
      <c r="F80" s="257"/>
    </row>
    <row r="81" spans="2:6" ht="15.75" thickBot="1" x14ac:dyDescent="0.3">
      <c r="B81" s="163" t="s">
        <v>345</v>
      </c>
      <c r="C81" s="149" t="s">
        <v>346</v>
      </c>
      <c r="D81" s="150">
        <f>D64/2</f>
        <v>68563.237473360015</v>
      </c>
      <c r="E81" s="151" t="s">
        <v>337</v>
      </c>
      <c r="F81" s="257"/>
    </row>
    <row r="82" spans="2:6" ht="15.75" thickBot="1" x14ac:dyDescent="0.3">
      <c r="B82" s="163" t="s">
        <v>347</v>
      </c>
      <c r="C82" s="149" t="s">
        <v>348</v>
      </c>
      <c r="D82" s="150">
        <f>D70/2</f>
        <v>188273.92018176001</v>
      </c>
      <c r="E82" s="164" t="s">
        <v>337</v>
      </c>
      <c r="F82" s="257"/>
    </row>
    <row r="83" spans="2:6" ht="19.5" thickBot="1" x14ac:dyDescent="0.3">
      <c r="B83" s="146"/>
      <c r="C83" s="165" t="s">
        <v>349</v>
      </c>
      <c r="D83" s="166">
        <f>SUM(D71:D82)</f>
        <v>4834387.9950270941</v>
      </c>
      <c r="E83" s="147"/>
      <c r="F83" s="147"/>
    </row>
    <row r="85" spans="2:6" x14ac:dyDescent="0.25">
      <c r="D85" s="218">
        <v>0.15</v>
      </c>
    </row>
    <row r="86" spans="2:6" x14ac:dyDescent="0.25">
      <c r="D86" s="217">
        <f>+D83*D85</f>
        <v>725158.19925406412</v>
      </c>
    </row>
  </sheetData>
  <mergeCells count="23">
    <mergeCell ref="F73:F82"/>
    <mergeCell ref="F48:F70"/>
    <mergeCell ref="B53:E53"/>
    <mergeCell ref="B59:E59"/>
    <mergeCell ref="B65:E65"/>
    <mergeCell ref="E71:F71"/>
    <mergeCell ref="B72:F72"/>
    <mergeCell ref="B47:F47"/>
    <mergeCell ref="F21:F25"/>
    <mergeCell ref="B26:F26"/>
    <mergeCell ref="F27:F31"/>
    <mergeCell ref="B32:F32"/>
    <mergeCell ref="F33:F37"/>
    <mergeCell ref="B38:F38"/>
    <mergeCell ref="F39:F43"/>
    <mergeCell ref="B44:F44"/>
    <mergeCell ref="F45:F46"/>
    <mergeCell ref="B20:F20"/>
    <mergeCell ref="B5:F5"/>
    <mergeCell ref="B6:F6"/>
    <mergeCell ref="F8:F13"/>
    <mergeCell ref="B14:F14"/>
    <mergeCell ref="F15:F19"/>
  </mergeCells>
  <pageMargins left="0.7" right="0.7" top="0.75" bottom="0.5" header="0.3" footer="0.3"/>
  <pageSetup orientation="portrait" horizontalDpi="90" verticalDpi="90" r:id="rId1"/>
  <headerFooter>
    <oddHeader>&amp;C&amp;"Courier"&amp;12UNCLASSIFIED</oddHeader>
    <oddFooter>&amp;C&amp;"Courier"&amp;12UNCLASSIFIED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7B5F7112BE3546BD7F7D9323B9BF29" ma:contentTypeVersion="9" ma:contentTypeDescription="Create a new document." ma:contentTypeScope="" ma:versionID="dc6f1c4b63835200e2d5456fd5090978">
  <xsd:schema xmlns:xsd="http://www.w3.org/2001/XMLSchema" xmlns:xs="http://www.w3.org/2001/XMLSchema" xmlns:p="http://schemas.microsoft.com/office/2006/metadata/properties" xmlns:ns2="0e73b432-9d1f-40ce-ba6f-cb2113d6b678" xmlns:ns3="5ec0b589-39b0-463b-8fdd-1d945c518bc0" targetNamespace="http://schemas.microsoft.com/office/2006/metadata/properties" ma:root="true" ma:fieldsID="48d3d1f85f188dddb4f90b0b436474ae" ns2:_="" ns3:_="">
    <xsd:import namespace="0e73b432-9d1f-40ce-ba6f-cb2113d6b678"/>
    <xsd:import namespace="5ec0b589-39b0-463b-8fdd-1d945c518b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73b432-9d1f-40ce-ba6f-cb2113d6b6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c0b589-39b0-463b-8fdd-1d945c518bc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file>

<file path=customXml/item4.xml><?xml version="1.0" encoding="utf-8"?>
<class:Classification xmlns:class="urn:us:gov:cia:enterprise:schema:Classification:2.3" dateClassified="2023-02-12" portionMarking="false" caveat="false" tool="AACG" toolVersion="202210">
  <class:ClassificationMarking type="USClassificationMarking" value="UNCLASSIFIED"/>
  <class:ClassifiedBy/>
  <class:ClassificationHeader>
    <class:ClassificationBanner>UNCLASSIFIED</class:ClassificationBanner>
    <class:SCICaveat/>
    <class:DescriptiveMarkings/>
  </class:ClassificationHeader>
  <class:ClassificationFooter>
    <class:DescriptiveMarkings/>
    <class:ClassificationBanner>UNCLASSIFIED</class:ClassificationBanner>
  </class:ClassificationFooter>
</class:Classification>
</file>

<file path=customXml/itemProps1.xml><?xml version="1.0" encoding="utf-8"?>
<ds:datastoreItem xmlns:ds="http://schemas.openxmlformats.org/officeDocument/2006/customXml" ds:itemID="{64BD01F8-F4E0-400A-B07D-28E2AFFF22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73b432-9d1f-40ce-ba6f-cb2113d6b678"/>
    <ds:schemaRef ds:uri="5ec0b589-39b0-463b-8fdd-1d945c518b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66D2B4B-ECDA-4271-BE85-B5D368AB1DC8}">
  <ds:schemaRefs>
    <ds:schemaRef ds:uri="0e73b432-9d1f-40ce-ba6f-cb2113d6b678"/>
    <ds:schemaRef ds:uri="http://purl.org/dc/terms/"/>
    <ds:schemaRef ds:uri="http://schemas.microsoft.com/office/2006/metadata/properties"/>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74CDB062-2D2D-44A9-A177-E20082EBFDE4}">
  <ds:schemaRefs>
    <ds:schemaRef ds:uri="http://schemas.microsoft.com/sharepoint/v3/contenttype/forms"/>
  </ds:schemaRefs>
</ds:datastoreItem>
</file>

<file path=customXml/itemProps4.xml><?xml version="1.0" encoding="utf-8"?>
<ds:datastoreItem xmlns:ds="http://schemas.openxmlformats.org/officeDocument/2006/customXml" ds:itemID="{494A1D31-0B63-4A6D-B5A8-D222EAAAD690}">
  <ds:schemaRefs>
    <ds:schemaRef ds:uri="urn:us:gov:cia:enterprise:schema:Classification: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Tab 1 Instructions</vt:lpstr>
      <vt:lpstr>Tab 2 IDIQ LCAT Skill Levels</vt:lpstr>
      <vt:lpstr>Tab 3 IDIQ LCAT Descriptions</vt:lpstr>
      <vt:lpstr>Tab 4 IDIQ LCAT Rates</vt:lpstr>
      <vt:lpstr>Tab 5 IDIQ and TO1 CLINs</vt:lpstr>
      <vt:lpstr>Tab 6 TO1 CLIN X001</vt:lpstr>
      <vt:lpstr>Tab 7 TO1 SUBCLIN X001AF</vt:lpstr>
      <vt:lpstr>Tab 8 TO1 CLIN X002</vt:lpstr>
      <vt:lpstr>Tab 9 O1 SUBCLIN X003AA</vt:lpstr>
      <vt:lpstr>Tab 10 TO1 SUBCLIN X003AB</vt:lpstr>
      <vt:lpstr>Tab 11 TO1 SUBCLIN X003AC</vt:lpstr>
      <vt:lpstr>Tab 12 TO1 CLIN X004</vt:lpstr>
      <vt:lpstr>Tab 13 TO1 CLIN X005</vt:lpstr>
      <vt:lpstr>Tab 14 TO1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2023-02-12T19:43:21Z</dcterms:created>
  <dcterms:modified xsi:type="dcterms:W3CDTF">2025-04-17T20:52:54Z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202210</vt:lpwstr>
  </property>
  <property fmtid="{D5CDD505-2E9C-101B-9397-08002B2CF9AE}" pid="20" name="AACG_CustomClassXMLPart">
    <vt:lpwstr>{494A1D31-0B63-4A6D-B5A8-D222EAAAD690}</vt:lpwstr>
  </property>
  <property fmtid="{D5CDD505-2E9C-101B-9397-08002B2CF9AE}" pid="21" name="ContentTypeId">
    <vt:lpwstr>0x010100C37B5F7112BE3546BD7F7D9323B9BF29</vt:lpwstr>
  </property>
</Properties>
</file>